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affa\Downloads\"/>
    </mc:Choice>
  </mc:AlternateContent>
  <xr:revisionPtr revIDLastSave="0" documentId="13_ncr:1_{3B228558-FC99-49CE-9B95-B343E1B92C5B}" xr6:coauthVersionLast="47" xr6:coauthVersionMax="47" xr10:uidLastSave="{00000000-0000-0000-0000-000000000000}"/>
  <bookViews>
    <workbookView xWindow="-120" yWindow="-120" windowWidth="20730" windowHeight="11040" xr2:uid="{00000000-000D-0000-FFFF-FFFF00000000}"/>
  </bookViews>
  <sheets>
    <sheet name="Form Responses 1" sheetId="1" r:id="rId1"/>
    <sheet name="KEPUASAN" sheetId="2" r:id="rId2"/>
    <sheet name="PENGETAHUAN" sheetId="3" r:id="rId3"/>
    <sheet name="PERSEPSI" sheetId="4" r:id="rId4"/>
    <sheet name="KUALITAS LAYANAN" sheetId="5" r:id="rId5"/>
    <sheet name="Copy of Form Responses 1" sheetId="6" r:id="rId6"/>
    <sheet name="Pivot Table 2" sheetId="7" r:id="rId7"/>
  </sheets>
  <calcPr calcId="191029"/>
  <pivotCaches>
    <pivotCache cacheId="5"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6" l="1"/>
  <c r="F6" i="6"/>
  <c r="F5" i="6"/>
  <c r="F4" i="6"/>
  <c r="F3" i="6"/>
  <c r="F2" i="6"/>
  <c r="E35" i="5"/>
  <c r="D35" i="5"/>
  <c r="C35" i="5"/>
  <c r="B35" i="5"/>
  <c r="B36" i="5" s="1"/>
  <c r="E30" i="5"/>
  <c r="E31" i="5" s="1"/>
  <c r="C30" i="5"/>
  <c r="C31" i="5" s="1"/>
  <c r="E26" i="5"/>
  <c r="D26" i="5"/>
  <c r="C26" i="5"/>
  <c r="B26" i="5"/>
  <c r="F25" i="5"/>
  <c r="F24" i="5"/>
  <c r="F23" i="5"/>
  <c r="F22" i="5"/>
  <c r="F21" i="5"/>
  <c r="F20" i="5"/>
  <c r="F19" i="5"/>
  <c r="F18" i="5"/>
  <c r="F17" i="5"/>
  <c r="F16" i="5"/>
  <c r="F15" i="5"/>
  <c r="F14" i="5"/>
  <c r="F13" i="5"/>
  <c r="F12" i="5"/>
  <c r="F11" i="5"/>
  <c r="F10" i="5"/>
  <c r="F9" i="5"/>
  <c r="F8" i="5"/>
  <c r="F7" i="5"/>
  <c r="F6" i="5"/>
  <c r="F5" i="5"/>
  <c r="F4" i="5"/>
  <c r="F3" i="5"/>
  <c r="F2" i="5"/>
  <c r="B37" i="5" s="1"/>
  <c r="E61" i="4"/>
  <c r="D61" i="4"/>
  <c r="C61" i="4"/>
  <c r="B61" i="4"/>
  <c r="B62" i="4" s="1"/>
  <c r="D56" i="4"/>
  <c r="D57" i="4" s="1"/>
  <c r="E52" i="4"/>
  <c r="D52" i="4"/>
  <c r="C52" i="4"/>
  <c r="B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B56" i="4" s="1"/>
  <c r="B57" i="4" s="1"/>
  <c r="F6" i="4"/>
  <c r="F5" i="4"/>
  <c r="F4" i="4"/>
  <c r="F3" i="4"/>
  <c r="F2" i="4"/>
  <c r="C56" i="4" s="1"/>
  <c r="C57" i="4" s="1"/>
  <c r="I58" i="3"/>
  <c r="H58" i="3"/>
  <c r="G58" i="3"/>
  <c r="F58" i="3"/>
  <c r="E58" i="3"/>
  <c r="D58" i="3"/>
  <c r="C58" i="3"/>
  <c r="B58" i="3"/>
  <c r="B59" i="3" s="1"/>
  <c r="B61" i="3" s="1"/>
  <c r="C61" i="3" s="1"/>
  <c r="C53" i="3"/>
  <c r="C54" i="3" s="1"/>
  <c r="I49" i="3"/>
  <c r="H49" i="3"/>
  <c r="G49" i="3"/>
  <c r="F49" i="3"/>
  <c r="E49" i="3"/>
  <c r="D49" i="3"/>
  <c r="C49" i="3"/>
  <c r="B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B60" i="3" s="1"/>
  <c r="J18" i="3"/>
  <c r="J17" i="3"/>
  <c r="J16" i="3"/>
  <c r="J15" i="3"/>
  <c r="J14" i="3"/>
  <c r="J13" i="3"/>
  <c r="J12" i="3"/>
  <c r="J11" i="3"/>
  <c r="J10" i="3"/>
  <c r="J9" i="3"/>
  <c r="J8" i="3"/>
  <c r="J7" i="3"/>
  <c r="J6" i="3"/>
  <c r="J5" i="3"/>
  <c r="J4" i="3"/>
  <c r="J3" i="3"/>
  <c r="G53" i="3" s="1"/>
  <c r="G54" i="3" s="1"/>
  <c r="J2" i="3"/>
  <c r="F53" i="3" s="1"/>
  <c r="F54" i="3" s="1"/>
  <c r="E61" i="2"/>
  <c r="D61" i="2"/>
  <c r="C61" i="2"/>
  <c r="B61" i="2"/>
  <c r="B62" i="2" s="1"/>
  <c r="C56" i="2"/>
  <c r="C57" i="2" s="1"/>
  <c r="E52" i="2"/>
  <c r="D52" i="2"/>
  <c r="C52" i="2"/>
  <c r="B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F3" i="2"/>
  <c r="F2" i="2"/>
  <c r="D56" i="2" s="1"/>
  <c r="D57" i="2" s="1"/>
  <c r="B38" i="5" l="1"/>
  <c r="C38" i="5" s="1"/>
  <c r="E56" i="2"/>
  <c r="E57" i="2" s="1"/>
  <c r="B63" i="2"/>
  <c r="B64" i="2" s="1"/>
  <c r="C64" i="2" s="1"/>
  <c r="E56" i="4"/>
  <c r="E57" i="4" s="1"/>
  <c r="E53" i="3"/>
  <c r="E54" i="3" s="1"/>
  <c r="H53" i="3"/>
  <c r="H54" i="3" s="1"/>
  <c r="F52" i="2"/>
  <c r="J49" i="3"/>
  <c r="I53" i="3"/>
  <c r="I54" i="3" s="1"/>
  <c r="F26" i="5"/>
  <c r="B56" i="2"/>
  <c r="B57" i="2" s="1"/>
  <c r="B53" i="3"/>
  <c r="B54" i="3" s="1"/>
  <c r="B63" i="4"/>
  <c r="B64" i="4" s="1"/>
  <c r="C64" i="4" s="1"/>
  <c r="B30" i="5"/>
  <c r="B31" i="5" s="1"/>
  <c r="D53" i="3"/>
  <c r="D54" i="3" s="1"/>
  <c r="F52" i="4"/>
  <c r="D30" i="5"/>
  <c r="D31" i="5" s="1"/>
</calcChain>
</file>

<file path=xl/sharedStrings.xml><?xml version="1.0" encoding="utf-8"?>
<sst xmlns="http://schemas.openxmlformats.org/spreadsheetml/2006/main" count="9574" uniqueCount="1622">
  <si>
    <t>Responden</t>
  </si>
  <si>
    <t>Q1</t>
  </si>
  <si>
    <t>Q2</t>
  </si>
  <si>
    <t>Q3</t>
  </si>
  <si>
    <t>Q4</t>
  </si>
  <si>
    <t>Total</t>
  </si>
  <si>
    <t>Q5</t>
  </si>
  <si>
    <t>Q6</t>
  </si>
  <si>
    <t>Q7</t>
  </si>
  <si>
    <t>Q8</t>
  </si>
  <si>
    <t>Seberapa puas Anda terhadap Fasilitasi Pendanaan Kompetisi Mandiri Nasional Internasional?</t>
  </si>
  <si>
    <t>Saya mengetahui dengan jelas kriteria penilaian kelayakan permohonan pendanaan Fasilitasi Kompetitif tingkat Nasional dan Internasional.</t>
  </si>
  <si>
    <t>Seberapa puas Anda terhadap Fasilitasi Administrasi Kegiatan Nasional dan Internasional?</t>
  </si>
  <si>
    <t>Timestamp</t>
  </si>
  <si>
    <t>Seberapa besar pengaruh Fasilitasi Pendanaan Kompetisi Mandiri Nasional terhadap keberhasilan lomba?</t>
  </si>
  <si>
    <t>Seberapa puas Anda terhadap Fasilitasi Pembinaan Kegiatan Nasional dan Internasional?</t>
  </si>
  <si>
    <t>Saya mengetahui dengan jelas Petunjuk Teknis Pengajuan Pendanaan Fasilitasi Kompetitif tingkat Nasional dan Internasional.</t>
  </si>
  <si>
    <t>Email Address</t>
  </si>
  <si>
    <t>Score</t>
  </si>
  <si>
    <t>Nama Lengkap</t>
  </si>
  <si>
    <t>Seberapa besar pengaruh Fasilitasi Administrasi Kegiatan Nasional dan Internasional terhadap keberhasilan lomba?</t>
  </si>
  <si>
    <t>NIM</t>
  </si>
  <si>
    <t>Seberapa puas Anda terhadap Fasilitasi Insentif Prestasi Kompetisi Mandiri?</t>
  </si>
  <si>
    <t>Jenis Kelamin</t>
  </si>
  <si>
    <t>Angkatan</t>
  </si>
  <si>
    <t>Nomor Whatsapp</t>
  </si>
  <si>
    <t>Tempat Tinggal saat Kuliah</t>
  </si>
  <si>
    <t>Seberapa mengetahui dengan jelas proses pengajuan permohonan dana dapat dilakukan dengan mengajukan melalui fitur fasilitasi aktivitas pada studentportal.ipb.ac.id?</t>
  </si>
  <si>
    <t>Jalur Masuk</t>
  </si>
  <si>
    <t>Seberapa besar pengaruh Fasilitasi Pembinaan Kegiatan Nasional dan Internasional terhadap keberhasilan lomba?</t>
  </si>
  <si>
    <t>Manakah komunitas yang pernah atau sedang Anda ikuti di bawah inil?</t>
  </si>
  <si>
    <t>Pada jalur PIN atau Talenta, Anda masuk sebagai kategori apa?</t>
  </si>
  <si>
    <t>Apakah kamu adalah orang yang cepat beradaptasi dengan lingkungan baru?</t>
  </si>
  <si>
    <t xml:space="preserve">Jika "Ya", apa alasan utama kamu merasa cepat beradaptasi? </t>
  </si>
  <si>
    <t xml:space="preserve">Jika menjawab "Tidak", apa alasan utama kamu merasa tidak cepat beradaptasi? </t>
  </si>
  <si>
    <t>Apakah kamu lebih suka bekerja sendirian dibandingkan melakukan kerja sama tim?</t>
  </si>
  <si>
    <t xml:space="preserve">Jika "Ya", Apa alasan kamu lebih memilih untuk bekerja sendirian atau independen? </t>
  </si>
  <si>
    <t>Seberapa besar pengaruh Fasilitasi Insentif Prestasi Kompetisi Mandiri terhadap keberhasilan lomba?</t>
  </si>
  <si>
    <t xml:space="preserve">Jika "Tidak",  Apa alasan kamu lebih memilih untuk bekerja sama atau berkelompok? </t>
  </si>
  <si>
    <t>Saya mengetahui dengan jelas Teknis Pengajuan Administrasi Kegiatan Nasional dan Internasional.</t>
  </si>
  <si>
    <t xml:space="preserve">Selama berkuliah manakah yang menggambarkan kamu? </t>
  </si>
  <si>
    <t>Apakah kamu memiliki minat untuk mengikuti lomba/kompetisi saat berkuliah di IPB?</t>
  </si>
  <si>
    <t xml:space="preserve">Jika "Ya" Apa yang menjadi alasan utama kamu memiliki minat untuk berkompetisi? </t>
  </si>
  <si>
    <t xml:space="preserve">Jika "Tidak" Apa yang menjadi alasan utama kamu tidak memiliki minat berkompetisi? </t>
  </si>
  <si>
    <t xml:space="preserve">Kegiatan kampus seperti apa yang paling seru dan nggak bikin kamu cepat bosan? </t>
  </si>
  <si>
    <t>Menurut kamu, skill apa yang paling penting buat dikuasai mahasiswa?</t>
  </si>
  <si>
    <t>Biasanya kamu ngapain kalau lihat ada masalah dalam kelompok belajar atau organisasi?</t>
  </si>
  <si>
    <t>Silahkan pilih pernyataan mana yang kamu sukai dan ingin kamu pelajari [Suka menganalisis data dan memecahkan masalah kompleks]</t>
  </si>
  <si>
    <t>Silahkan pilih pernyataan mana yang kamu sukai dan ingin kamu pelajari [Ingin belajar menulis paper ilmiah atau presentasi riset]</t>
  </si>
  <si>
    <t>Saya mengetahui dengan jelas Teknis Pengajuan Pembinaan Kegiatan Nasional dan Internasional.</t>
  </si>
  <si>
    <t>Silahkan pilih pernyataan mana yang kamu sukai dan ingin kamu pelajari [Tertarik dengan studi kasus bisnis atau teknologi terbaru]</t>
  </si>
  <si>
    <t>Silahkan pilih pernyataan mana yang kamu sukai dan ingin kamu pelajari [Ingin belajar coding, AI, atau cybersecurity lebih dalam]</t>
  </si>
  <si>
    <t>Silahkan pilih pernyataan mana yang kamu sukai dan ingin kamu pelajari [Suka mengembangkan ide bisnis dan strategi pemasaran]</t>
  </si>
  <si>
    <t>Silahkan pilih pernyataan mana yang kamu sukai dan ingin kamu pelajari [Ingin belajar pitching ide ke investor atau membuat business plan]</t>
  </si>
  <si>
    <t>Silahkan pilih pernyataan mana yang kamu sukai dan ingin kamu pelajari [Ingin belajar menyusun argumen yang solid dan persuasif]</t>
  </si>
  <si>
    <t>Silahkan pilih pernyataan mana yang kamu sukai dan ingin kamu pelajari [Senang diskusi isu sosial, politik, atau ekonomi]</t>
  </si>
  <si>
    <t xml:space="preserve">Preferensi Minat Prestasi Mahasiswa, manakah dari 5 kelompok prestasi yang kamu minati? </t>
  </si>
  <si>
    <t xml:space="preserve">Bidang mana yang paling mencerminkan minat dan bakat kamu?  </t>
  </si>
  <si>
    <t>Saya mengetahui dengan jelas Teknis Pengajuan Insentif Prestasi Kegiatan Nasional dan Internasional.</t>
  </si>
  <si>
    <t>Silahkan pilih pernyataan mana yang kamu sukai dan ingin kamu pelajari [Suka menganalisis data dan memecahkan masalah kompleks] 2</t>
  </si>
  <si>
    <t>Silahkan pilih pernyataan mana yang kamu sukai dan ingin kamu pelajari [Ingin belajar menulis paper ilmiah atau presentasi riset] 2</t>
  </si>
  <si>
    <t>Silahkan pilih pernyataan mana yang kamu sukai dan ingin kamu pelajari [Tertarik dengan studi kasus bisnis atau teknologi terbaru] 2</t>
  </si>
  <si>
    <t>Silahkan pilih pernyataan mana yang kamu sukai dan ingin kamu pelajari [Ingin belajar coding, AI, atau cybersecurity lebih dalam] 2</t>
  </si>
  <si>
    <t>Silahkan pilih pernyataan mana yang kamu sukai dan ingin kamu pelajari [Suka mengembangkan ide bisnis dan strategi pemasaran] 2</t>
  </si>
  <si>
    <t>Silahkan pilih pernyataan mana yang kamu sukai dan ingin kamu pelajari [Ingin belajar pitching ide ke investor atau membuat business plan] 2</t>
  </si>
  <si>
    <t>Silahkan pilih pernyataan mana yang kamu sukai dan ingin kamu pelajari [Ingin belajar menyusun argumen yang solid dan persuasif] 2</t>
  </si>
  <si>
    <t>Seberapa mengetahui dengan jelas proses klaim insentif dapat dilakukan dengan memasukan aktivitas kompetisi pada studentportal.ipb.ac.id?</t>
  </si>
  <si>
    <t>Silahkan pilih pernyataan mana yang kamu sukai dan ingin kamu pelajari [Senang diskusi isu sosial, politik, atau ekonomi] 2</t>
  </si>
  <si>
    <t>Kapan pertama kali kamu mulai tertarik pada debat dan diplomasi?</t>
  </si>
  <si>
    <t>Apakah kamu pernah mengikuti kompetisi debat dan diplomasi?</t>
  </si>
  <si>
    <t xml:space="preserve">Seberapa mengetahui dengan jelas pengisian SKPI dilakukan secara otomatis ketika mahasiswa memasukan kegiatannya kedalam fitur aktivitas di studentportal.ipb.ac.id? </t>
  </si>
  <si>
    <t xml:space="preserve">Jika "Ya", Sebutkan kompetisi yang pernah kamu ikuti dengan capaian prestasi  (sebtukan 3 capaian tertinggi) </t>
  </si>
  <si>
    <t xml:space="preserve">Jika "Tidak", tuliskan alasan kamu belum pernah ikut kompetisi </t>
  </si>
  <si>
    <t xml:space="preserve">Menurutmu, kemampuan apa yang masih perlu ditingkatkan apabila kamu mendapatkan pembinaan pada bidang debat dan diplomasi? </t>
  </si>
  <si>
    <t xml:space="preserve">Apa target kamu dalam ketika memulai menekuni bidang ini? </t>
  </si>
  <si>
    <t>Menurut kamu, Fasilitas apa yang perlu ditingkatkan oleh IPB untuk mendukung perkembangan kamu dalam bidang ini.</t>
  </si>
  <si>
    <t xml:space="preserve">Kapan pertama kali kamu mulai tertarik pada bidang ICT-Robotika? </t>
  </si>
  <si>
    <t>Apakah Anda pernah mengikuti kompetisi ICT-Robotika?</t>
  </si>
  <si>
    <t>Jika "Ya", Sebutkan kompetisi yang pernah kamu ikuti dengan capaian prestasi  (sebtukan 3 capaian tertinggi)  2</t>
  </si>
  <si>
    <t>Jika "Tidak", tuliskan alasan kamu belum pernah ikut kompetisi  2</t>
  </si>
  <si>
    <t xml:space="preserve">Menurutmu, kemampuan apa yang masih perlu ditingkatkan apabila kamu mendapatkan pembinaan pada bidang ini? </t>
  </si>
  <si>
    <t>Apa target kamu dalam ketika memulai menekuni bidang ini?  2</t>
  </si>
  <si>
    <t>Menurut kamu, Fasilitas apa yang perlu ditingkatkan oleh IPB untuk mendukung perkembangan kamu dalam bidang ini</t>
  </si>
  <si>
    <t>Kapan pertama kali kamu mulai tertarik pada pengabdian?</t>
  </si>
  <si>
    <t>Apakah kamu pernah mengikuti kompetisi di bidang pengabdian?</t>
  </si>
  <si>
    <t>Jika "Ya", Sebutkan kompetisi yang pernah kamu ikuti dengan capaian prestasi  (sebtukan 3 capaian tertinggi)  3</t>
  </si>
  <si>
    <t>Jika "Tidak", tuliskan alasan kamu belum pernah ikut kompetisi</t>
  </si>
  <si>
    <t>Apakah kamu memiliki prestasi di bidang pengabdian?</t>
  </si>
  <si>
    <t>Menurutmu, kemampuan apa yang masih perlu ditingkatkan apabila kamu mendapatkan pembinaan pada bidang ini?  2</t>
  </si>
  <si>
    <t>Apa target kamu dalam ketika memulai menekuni bidang ini?  3</t>
  </si>
  <si>
    <t>Menurut kamu, Fasilitas apa yang perlu ditingkatkan oleh IPB untuk mendukung perkembangan kamu dalam bidang ini 2</t>
  </si>
  <si>
    <t>Kapan pertama kali kamu mulai tertarik pada sains dan penalaran?</t>
  </si>
  <si>
    <t>Apakah kamu pernah mengikuti kompetisi sains dan penalaran?</t>
  </si>
  <si>
    <t>Jika "Ya", Sebutkan kompetisi yang pernah kamu ikuti dengan capaian prestasi  (sebtukan 3 capaian tertinggi)  4</t>
  </si>
  <si>
    <t>Jika "Tidak", tuliskan alasan kamu belum pernah ikut kompetisi 2</t>
  </si>
  <si>
    <t>Menurutmu, kemampuan apa yang masih perlu ditingkatkan apabila kamu mendapatkan pembinaan pada bidang ini?  3</t>
  </si>
  <si>
    <t>Apa target kamu dalam ketika memulai menekuni bidang ini?  4</t>
  </si>
  <si>
    <t>Menurut kamu, Fasilitas apa yang perlu ditingkatkan oleh IPB untuk mendukung perkembangan kamu dalam bidang ini 3</t>
  </si>
  <si>
    <t>Kapan pertama kali kamu mulai tertarik pada bisnis?</t>
  </si>
  <si>
    <t>Apakah kamu pernah mengikuti kompetisi bisnis?</t>
  </si>
  <si>
    <t>Jika "Ya", Sebutkan kompetisi yang pernah kamu ikuti dengan capaian prestasi  (sebtukan 3 capaian tertinggi)  5</t>
  </si>
  <si>
    <t>Jika "Tidak", tuliskan alasan kamu belum pernah ikut kompetisi 3</t>
  </si>
  <si>
    <t>Menurutmu, kemampuan apa yang masih perlu ditingkatkan apabila kamu mendapatkan pembinaan pada bidang ini?  4</t>
  </si>
  <si>
    <t>Apa target kamu dalam ketika memulai menekuni bidang ini?  5</t>
  </si>
  <si>
    <t>Menurut kamu, Fasilitas apa yang perlu ditingkatkan oleh IPB untuk mendukung perkembangan kamu dalam bidang ini 4</t>
  </si>
  <si>
    <t>Menurut anda, bagaimana pelaksanaan yang paling sesuai untuk pelaksanaan pembinaan?</t>
  </si>
  <si>
    <t>Dalam mengikuti pembinaan kompetisi, Anda lebih nyaman dalam pembinaan yang dilakukan dengan kelompok seperti apa?</t>
  </si>
  <si>
    <t>Bagaimana aktivitas pembinaan yang paling sesuai untuk diterapkan sebagai pembinaan?</t>
  </si>
  <si>
    <t>Dalam memilih program pembinaan kompetisi. Program mana yang lebih sesuai dengan preferensi Anda?</t>
  </si>
  <si>
    <t>Menurut Anda, berapa jumlah pelaksanaan pembinaan yang ideal dalam rentang waktu satu bulan ?</t>
  </si>
  <si>
    <t>Menurut Anda, seberapa penting peran mentor/pembimbing dalam perlombaan/ kegiatan yang anda ikuti?</t>
  </si>
  <si>
    <t>Bagaimana tipe mentor/pembimbing yang Anda harapkan?</t>
  </si>
  <si>
    <t>Bagaimana kriteria mentor yang “ideal” menurut Anda?</t>
  </si>
  <si>
    <t>Apakah Anda pernah sekadar mengetahui salah satu dari program fasilitasi kompetisi yang telah dijelaskan di atas?</t>
  </si>
  <si>
    <t>Manakah Program Fasilitasi Kompetitif dari IPB Prestasi yang Anda tahu?</t>
  </si>
  <si>
    <t>Dari mana anda mengetahui adanya Fasilitasi Kompetitif dari IPB Prestasi?</t>
  </si>
  <si>
    <t>Menurut anda, seberapa efektif promosi Fasilitasi Kompetitif dari IPB Prestasi untuk menjangkau semua mahasiswa?</t>
  </si>
  <si>
    <t>Jenis media promosi dan informasi seperti apa yang anda sukai?</t>
  </si>
  <si>
    <t>Apakah Anda pernah menggunakan Fasilitasi Kompetitif IPB Prestasi?</t>
  </si>
  <si>
    <t>Bagaimana kualitas layanan saat Anda mengajukan pertanyaan atau melaporkan kendala?</t>
  </si>
  <si>
    <t>Bagaimana kemudahan mekanisme/alur pengajuan Fasilitasi?</t>
  </si>
  <si>
    <t xml:space="preserve">Bagaimana kecepatan verifikasi sampai dengan penyetujuan pengajuan? </t>
  </si>
  <si>
    <t>Kendala utama dalam mengakses/menjalani Fasilitasi Kompetitif IPB</t>
  </si>
  <si>
    <t>Menurut anda apa evaluasi untuk Fasilitas Kompetitif IPB?</t>
  </si>
  <si>
    <t>Apakah ada saran yang ingin Anda berikan untuk meningkatkan Fasilitasi Kompetitif IPB Prestasi? Apabila ada, tuliskan saran Anda!.</t>
  </si>
  <si>
    <t/>
  </si>
  <si>
    <t>Kinara Rajwaa Putri Fatgianto</t>
  </si>
  <si>
    <t>E3401251023</t>
  </si>
  <si>
    <t>Perempuan</t>
  </si>
  <si>
    <t>Validitas</t>
  </si>
  <si>
    <t>085718674226</t>
  </si>
  <si>
    <t>R Tabel</t>
  </si>
  <si>
    <t>Asrama</t>
  </si>
  <si>
    <t>SNBP</t>
  </si>
  <si>
    <t>Corelation</t>
  </si>
  <si>
    <t>Tidak satupun dari komunitas di atas pernah/sedang saya ikut.</t>
  </si>
  <si>
    <t>Ya</t>
  </si>
  <si>
    <t>-</t>
  </si>
  <si>
    <t>Keputusan</t>
  </si>
  <si>
    <t>Suka menekuni hobi hingga bisa ikut kompetisi atau memiliki niat berkompetisi dan punya capaian tertentu</t>
  </si>
  <si>
    <t>Reliabilitas</t>
  </si>
  <si>
    <t>Varian</t>
  </si>
  <si>
    <t>Jumlah Varian</t>
  </si>
  <si>
    <t>Var Total</t>
  </si>
  <si>
    <t>Sains dan Penalaran</t>
  </si>
  <si>
    <t>Sejak SMP</t>
  </si>
  <si>
    <t>Kemampuan berpikir dalam mengerjakan soal-soal sulit</t>
  </si>
  <si>
    <t>Mempublikasikan karya atau gagasan di media ilmiah/populer kredibel</t>
  </si>
  <si>
    <t>Pendanaan untuk riset atau lomba akademik</t>
  </si>
  <si>
    <t>Hybrid</t>
  </si>
  <si>
    <t>Kelompok Kecil (Hanya 1 tim/ maksimal 5 orang)</t>
  </si>
  <si>
    <t>Pelatihan Keterampilan dan Simulasi Lapangan (Simulasi lomba dan Praktik )</t>
  </si>
  <si>
    <t>Pembinaan bebas (fleksibel) dan tidak terafiliasi dengan organisasi formal kampus, bisa diikuti tanpa komitmen keanggotaan atau struktur formal</t>
  </si>
  <si>
    <t>2 kali</t>
  </si>
  <si>
    <t>Kakak tingkat/Alumni yang pernah menjuarai di bidang lomba yang sama, Dosen yang ahli di bidang terkait</t>
  </si>
  <si>
    <t>Rutin memberi arahan dan masukan, Santai dan dapat menjadi teman mengobrol di luar konteks kegiatan/lomba, Memberi contoh ril terkait materi lomba</t>
  </si>
  <si>
    <t>Tidak</t>
  </si>
  <si>
    <t>Feed instagram, Video pencerdasan, Melalui jaringan komunikasi di grup angkatan</t>
  </si>
  <si>
    <t>Proses pengajuan atau pencairan fasilitas terlalu panjang dan rumit, Akses fasilitas memerlukan banyak persyaratan atau dokumen administratif, Waktu proses lama</t>
  </si>
  <si>
    <t>Kecepatan proses verifikasi dan persetujuan, Sosialisasi program ke mahasiswa</t>
  </si>
  <si>
    <t>Administrasinya saja yang perlu disederhanakan. Kalau ini sudah dibenahin, sudah perfect kokk.</t>
  </si>
  <si>
    <t xml:space="preserve">Athaya Firdaus </t>
  </si>
  <si>
    <t>M0401251010</t>
  </si>
  <si>
    <t>Laki - Laki</t>
  </si>
  <si>
    <t>085755020831</t>
  </si>
  <si>
    <t xml:space="preserve">Fakultas </t>
  </si>
  <si>
    <t>Hambatan sosial (sulit membangun relasi dengan orang baru)</t>
  </si>
  <si>
    <t>Sejak SMA</t>
  </si>
  <si>
    <t>Konsistensi dalam mengembangkan ide &amp; membaca sumber terpercaya</t>
  </si>
  <si>
    <t>Menang dalam kompetisi (LKTI, esai, riset, Olimpiade, debat ilmiah)</t>
  </si>
  <si>
    <t>Kelas atau kegiatan untuk latihan pemecahan masalah berbasis kasus nyata</t>
  </si>
  <si>
    <t>Penguatan Relasi dan Keakraban(Sikrab/makrab, diskusi santai, dan studi kasus)</t>
  </si>
  <si>
    <t>Kakak tingkat/Alumni yang pernah menjuarai di bidang lomba yang sama</t>
  </si>
  <si>
    <t>Fleksibel dan terbuka diskusi, Memberi motivasi dan semangat, Sering berbagi pengalaman pribadi</t>
  </si>
  <si>
    <t>COUNTA of NIM</t>
  </si>
  <si>
    <t>A</t>
  </si>
  <si>
    <t>E</t>
  </si>
  <si>
    <t>F</t>
  </si>
  <si>
    <t>I</t>
  </si>
  <si>
    <t>M</t>
  </si>
  <si>
    <t>Grand Total</t>
  </si>
  <si>
    <t>Column 117</t>
  </si>
  <si>
    <t>Column 118</t>
  </si>
  <si>
    <t>Column 119</t>
  </si>
  <si>
    <t>Column 120</t>
  </si>
  <si>
    <t>Video tren, Poster, Video pencerdasan</t>
  </si>
  <si>
    <t>Column 121</t>
  </si>
  <si>
    <t>Column 122</t>
  </si>
  <si>
    <t>Kecepatan proses verifikasi dan persetujuan</t>
  </si>
  <si>
    <t>semoga lebih baik</t>
  </si>
  <si>
    <t>faatihaadzkia@apps.ipb.ac.id</t>
  </si>
  <si>
    <t>Faatiha Adzkia Syaamil</t>
  </si>
  <si>
    <t>F2401241100</t>
  </si>
  <si>
    <t>083874652220</t>
  </si>
  <si>
    <t>Kos/Kontrakan</t>
  </si>
  <si>
    <t>PIN/ Talenta IPB</t>
  </si>
  <si>
    <t>Himapin</t>
  </si>
  <si>
    <t>Hafidz Quran</t>
  </si>
  <si>
    <t>Tidak bergantung pada orang lain dan dapat mengelola emosi dengan baik saat menghadapi kesulitan</t>
  </si>
  <si>
    <t>Memilih Ya</t>
  </si>
  <si>
    <t>Cenderung intorvert dan merasa lebih produktif dalam kesendirian dan ketenangan</t>
  </si>
  <si>
    <t>The Active Organizer: Terbukti Berogranisasi dan Berkembang (Aktif dalam organisasi kemahasiswaan (BEM, HIMPRO, UKM) dan Berbagai Kepanitian</t>
  </si>
  <si>
    <t>Mencapai Target Pribadi dan Membangun Rasa Percaya Diri</t>
  </si>
  <si>
    <t>Belum tahu minat</t>
  </si>
  <si>
    <t>Pembinaan terstruktur (terikat) dan diselenggarakan oleh pihak yang berafiliasi dengan organisasi formal kampus , dan biasanya memerlukan komitmen keikutsertaan</t>
  </si>
  <si>
    <t>Kakak tingkat/Alumni yang pernah menjuarai di bidang lomba yang sama, Seangkatan (teman sebaya) yang sudah lebih berpengalaman</t>
  </si>
  <si>
    <t>Rutin memberi arahan dan masukan, Fleksibel dan terbuka diskusi, Memberi contoh ril terkait materi lomba</t>
  </si>
  <si>
    <t>Fasilitasi Insentif Prestasi Kompetitif Mandiri</t>
  </si>
  <si>
    <t>Website IPB Prestasi, Postingan instagram @ipbprestasi, Postingan instagram BEM KM/BEM Fakultas/Himpunan</t>
  </si>
  <si>
    <t>Video pencerdasan, Melalui jaringan komunikasi di grup angkatan, Channel di WA atau IG</t>
  </si>
  <si>
    <t>Sosialisasi program ke mahasiswa</t>
  </si>
  <si>
    <t>naifanep4naifa@apps.ipb.ac.id</t>
  </si>
  <si>
    <t>Naifa fazira</t>
  </si>
  <si>
    <t>I2401251101</t>
  </si>
  <si>
    <t>085212459003</t>
  </si>
  <si>
    <t>Memilih Tidak</t>
  </si>
  <si>
    <t>Sifat Pemalu dan Rasa Canggung (Merasa tidak nyaman menjadi pusat perhatian dan butuh waktu lama untuk membuka diri)</t>
  </si>
  <si>
    <t>Merasa lebih termotivasi dan bersemangat ketika bekerja dalam berkelompok, energi dan antusiasme rekan kerja dapat salaing menular secara positif</t>
  </si>
  <si>
    <t>Belum tahu yang mana</t>
  </si>
  <si>
    <t>Pengabdian</t>
  </si>
  <si>
    <t>belum pernah mencoba dan belum ada peluang</t>
  </si>
  <si>
    <t>Pemahaman terhadap isu sosial, budaya, dan kondisi lokal</t>
  </si>
  <si>
    <t>Belum punya target, masih ingin belajar dan ikut serta</t>
  </si>
  <si>
    <t>Akses program pengabdian dengan pendampingan yang baik</t>
  </si>
  <si>
    <t xml:space="preserve">belum </t>
  </si>
  <si>
    <t>masih belum sepinter itu</t>
  </si>
  <si>
    <t>Kemampuan penalaran logis dan analisis argumen</t>
  </si>
  <si>
    <t>Program pelatihan penalaran logis &amp; critical thinking</t>
  </si>
  <si>
    <t>Daring</t>
  </si>
  <si>
    <t>Pendampingan dan Pembimbingan Personal (Mentoring/coaching dengan dosen/alumni/tokoh inspiratif)</t>
  </si>
  <si>
    <t>Memberi motivasi dan semangat, Santai dan dapat menjadi teman mengobrol di luar konteks kegiatan/lomba, Memberi contoh ril terkait materi lomba</t>
  </si>
  <si>
    <t>Fasilitasi Pendanaan Kompetitif Mandiri Nasional &amp; International</t>
  </si>
  <si>
    <t>Website IPB Prestasi, Informasi yang disebarkan melalui WhatsApp di grup angkatan, Teman</t>
  </si>
  <si>
    <t>Video tren, Instastory, Melalui jaringan komunikasi di grup angkatan</t>
  </si>
  <si>
    <t>keren</t>
  </si>
  <si>
    <t>22restiana@apps.ipb.ac.id</t>
  </si>
  <si>
    <t>Restiana Wulandari</t>
  </si>
  <si>
    <t>A2401251187</t>
  </si>
  <si>
    <t>085232685812</t>
  </si>
  <si>
    <t>Golden Ticket (FALP, Talent Scouting, dsb.)</t>
  </si>
  <si>
    <t>Fleksibel dan Mudah Belajar (Dapat menyesuaikan perilaku dengan situasi dan cepat mempelajari aturan, budaya dan kebiasaan baru)</t>
  </si>
  <si>
    <t>Merasakan Pengalaman seru dan Dinamika yang Menantang</t>
  </si>
  <si>
    <t>1 on 1 atau Personal (hanya diri sendiri)</t>
  </si>
  <si>
    <t>4 kali</t>
  </si>
  <si>
    <t>Kakak tingkat/Alumni yang pernah menjuarai di bidang lomba yang sama, Mentor profesional/eksternal dari luar kampus di bidang terkait</t>
  </si>
  <si>
    <t>Rutin memberi arahan dan masukan, Sering berbagi pengalaman pribadi, Santai dan dapat menjadi teman mengobrol di luar konteks kegiatan/lomba</t>
  </si>
  <si>
    <t>Fasilitasi Pendanaan Kompetitif Mandiri Nasional &amp; International, Fasilitasi Pembinaan Kompetitif Mandiri Nasional &amp; International, Fasilitasi Insentif Prestasi Kompetitif Mandiri</t>
  </si>
  <si>
    <t>Postingan instagram @ipbprestasi</t>
  </si>
  <si>
    <t>Feed instagram, Video pencerdasan, Channel di WA atau IG</t>
  </si>
  <si>
    <t>informasi lomba diposting di jauh jauh hari sebelum deadline, karena seringnya @ipbprestasi memberi informasi mengenai lomba itu h-3 deadline pengumpulan karya.</t>
  </si>
  <si>
    <t>hanssuciani@apps.ipb.ac.id</t>
  </si>
  <si>
    <t xml:space="preserve">Hana Suciani </t>
  </si>
  <si>
    <t xml:space="preserve">A1401251086 </t>
  </si>
  <si>
    <t>081554659960</t>
  </si>
  <si>
    <t>Fokus dan Kualitas kerja lebih terjaga (bebas dari gangguan dan interupsi rekan kerja dan dapat berkonsentrasi penuh untuk menghasilkan hasil terbaik)</t>
  </si>
  <si>
    <t>The Focused Enthusiast: Meraih Prestasi di Dua Dunia (Fokus pada akademik, namun tetap menekuni hobi/minat secara serius hingga level kompetitif)</t>
  </si>
  <si>
    <t>Sebagai Tolak Ukur dan Pembuktian Kemampuan Diri</t>
  </si>
  <si>
    <t>Penghargaan terhormat-Nasional-OPI-2024
Finalis-Nasional-Esai-2025</t>
  </si>
  <si>
    <t xml:space="preserve">Pengecekan Esai/KTI sebelum dikirimkan </t>
  </si>
  <si>
    <t>Rutin memberi arahan dan masukan, Fleksibel dan terbuka diskusi, Tegas, disiplin, tapi suportif</t>
  </si>
  <si>
    <t>Website IPB Prestasi, Dosen, Teman</t>
  </si>
  <si>
    <t>Feed instagram, Sosialisasi secara offline, Channel di WA atau IG</t>
  </si>
  <si>
    <t>Kecepatan proses verifikasi dan persetujuan, Sosialisasi program ke mahasiswa, Respons terhadap pertanyaan/ keluhan</t>
  </si>
  <si>
    <t xml:space="preserve">Saran saya yaitu pengajuan surat izin tidak mengikuti kuliah dan sedang mengikuti perlombaan sebaiknya segara untuk dikirimkan kepada mahasiswa agar mendapatkan perizinan dari dosen kuliah🙏🏻 </t>
  </si>
  <si>
    <t>Percaya Diri (Mudah menerima hal baru tanpa prasangka dan melihat perubahan sebagai peluang bukan ancaman)</t>
  </si>
  <si>
    <t>Memiliki kendali penuh atas proses dan hasil (bebas menentukan metode, prioritas dan lagkah kerja sendiiri serta tidak perlu kompromi atau menunggu persetujuan orang lain)</t>
  </si>
  <si>
    <t>The Balanced Leader: Mengintegrasikan Akademik dan Organisasi (Aktif berorganisasi dan tetap menjaga prestasi akademik dengan baik)</t>
  </si>
  <si>
    <t>Luring</t>
  </si>
  <si>
    <t>Feed instagram, Video pencerdasan, Sosialisasi secara offline</t>
  </si>
  <si>
    <t>Komunitas Prestasi</t>
  </si>
  <si>
    <t>Menikmati proses belajar dan bertukar pengetahuan (Dapat saling mengoreksi dan menyempurnakan pekerjaan bersama-sama)</t>
  </si>
  <si>
    <t>Kemampuan memecahkan masalah secara sistematis</t>
  </si>
  <si>
    <t>Mengikuti konferensi atau forum ilmiah mahasiswa</t>
  </si>
  <si>
    <t>1 kali</t>
  </si>
  <si>
    <t>Postingan instagram @ipbprestasi, Teman</t>
  </si>
  <si>
    <t>Pulang Pergi (Rumah)</t>
  </si>
  <si>
    <t>Terbiasa dengan situasi baru (sering pindah) dan tidak takut keluar dari zona nyaman</t>
  </si>
  <si>
    <t>The Academic Specialist: Fokus Mendalam pada Prestasi Akademik (Menjadikan Akademik sebagai prioritas utama dan aren pengembangan diri yang paling bermakna)</t>
  </si>
  <si>
    <t>Fleksibel dan terbuka diskusi, Santai dan dapat menjadi teman mengobrol di luar konteks kegiatan/lomba, Memberi contoh ril terkait materi lomba</t>
  </si>
  <si>
    <t>Fasilitasi Pendanaan Kompetitif Mandiri Nasional &amp; International, Fasilitasi Administratif Kompetitif Mandiri Nasional &amp; International, Fasilitasi Pembinaan Kompetitif Mandiri Nasional &amp; International, Fasilitasi Insentif Prestasi Kompetitif Mandiri</t>
  </si>
  <si>
    <t>Postingan instagram @ipbprestasi, Dosen, Teman</t>
  </si>
  <si>
    <t>Feed instagram, Melalui jaringan komunikasi di grup angkatan, Channel di WA atau IG</t>
  </si>
  <si>
    <t>cepiagustian@apps.ipb.ac.id</t>
  </si>
  <si>
    <t>Cepi Agustian</t>
  </si>
  <si>
    <t>M0402251027</t>
  </si>
  <si>
    <t>085797926094</t>
  </si>
  <si>
    <t>Dosen yang ahli di bidang terkait, Mentor profesional/eksternal dari luar kampus di bidang terkait</t>
  </si>
  <si>
    <t>Rutin memberi arahan dan masukan, Fleksibel dan terbuka diskusi, Memberi motivasi dan semangat</t>
  </si>
  <si>
    <t>Postingan instagram @ipbprestasi, Informasi yang disebarkan melalui WhatsApp di grup angkatan, Teman</t>
  </si>
  <si>
    <t>Video tren, Feed instagram, Sosialisasi secara offline</t>
  </si>
  <si>
    <t>Kualitas layanan petugas, Sosialisasi program ke mahasiswa</t>
  </si>
  <si>
    <t>tidak ada</t>
  </si>
  <si>
    <t>BUD</t>
  </si>
  <si>
    <t>Pengalaman negatif dalam bekerja sama (Pernah mengalami konflik, ketidakcocokan atau ketergantungan pada rekan tim)</t>
  </si>
  <si>
    <t>Pertemanan dengan mahasiswa yang memiliki passion yang sama</t>
  </si>
  <si>
    <t>Website IPB Prestasi, Postingan instagram @ipbprestasi</t>
  </si>
  <si>
    <t>Instastory, Feed instagram, Sosialisasi secara offline</t>
  </si>
  <si>
    <t>imam_maulana@apps.ipb.ac.id</t>
  </si>
  <si>
    <t>Imam Maulana</t>
  </si>
  <si>
    <t>H1401231072</t>
  </si>
  <si>
    <t>081291908150</t>
  </si>
  <si>
    <t>SNBT</t>
  </si>
  <si>
    <t>IPB Outsco</t>
  </si>
  <si>
    <t>Lebih cepat dan efisien (Tidak perlu waktu untuk koordinasi, rapat dan diskusi dan menghindari prosedur kelompok yang berbelit)</t>
  </si>
  <si>
    <t>Bisnis</t>
  </si>
  <si>
    <t>Kuliah Tingkat 1 (Semester 1 dan 2)</t>
  </si>
  <si>
    <t>Kemampuan merancang produk/jasa yang relevan</t>
  </si>
  <si>
    <t>Menang kompetisi ide bisnis atau proposal usaha (Bussiness Plan Competition, Bussines Case Competition, Bussiness Model Canvas, dll)</t>
  </si>
  <si>
    <t>Inkubator bisnis dengan pendampingan intensif</t>
  </si>
  <si>
    <t>Rutin memberi arahan dan masukan, Fleksibel dan terbuka diskusi, Sering berbagi pengalaman pribadi</t>
  </si>
  <si>
    <t>Teman</t>
  </si>
  <si>
    <t>Feed instagram, Poster, Melalui jaringan komunikasi di grup angkatan</t>
  </si>
  <si>
    <t>Waktu proses lama, Petugas administrasi, kurang responsif, Jadwal Operasional Terbatas</t>
  </si>
  <si>
    <t>The Passionate Competitor: Berprestasi di Jalur Minat (Menekuni hobi atau minat khusus dengan serius hingga level kompetitif)</t>
  </si>
  <si>
    <t>Sering berbagi pengalaman pribadi, Santai dan dapat menjadi teman mengobrol di luar konteks kegiatan/lomba, Memberi contoh ril terkait materi lomba</t>
  </si>
  <si>
    <t>Website IPB Prestasi, Postingan instagram @ipbprestasi, Postingan instagram UKM</t>
  </si>
  <si>
    <t>Kualitas layanan petugas, Kecepatan proses verifikasi dan persetujuan, Respons terhadap pertanyaan/ keluhan</t>
  </si>
  <si>
    <t>IPB Robotic Club</t>
  </si>
  <si>
    <t>Percaya pada kekuatan sinegri dan hasil yang lebih baik (Hasil akhir dirasa lebih kaya dan komprehensif karena ada banyak kontibutor)</t>
  </si>
  <si>
    <t>ICT - Robotika</t>
  </si>
  <si>
    <t>Kemampuan pemrograman (coding)</t>
  </si>
  <si>
    <t>Mengikuti dan menang dalam lomba robotika</t>
  </si>
  <si>
    <t>Penguatan Pengetahuan dan Pemahaman Teoritis (Training dan workshop)</t>
  </si>
  <si>
    <t>Dosen yang ahli di bidang terkait</t>
  </si>
  <si>
    <t>Fleksibel dan terbuka diskusi, Tegas, disiplin, tapi suportif, Memberi contoh ril terkait materi lomba</t>
  </si>
  <si>
    <t>Instastory, Feed instagram, Channel di WA atau IG</t>
  </si>
  <si>
    <t xml:space="preserve">Tidak ada </t>
  </si>
  <si>
    <t>Kemampuan mengambil keputusan berbasis data dan bukti</t>
  </si>
  <si>
    <t>Fasilitasi Pembinaan Kompetitif Mandiri Nasional &amp; International</t>
  </si>
  <si>
    <t>Postingan instagram @ipbprestasi, Postingan instagram BEM KM/BEM Fakultas/Himpunan, Teman</t>
  </si>
  <si>
    <t>Instastory, Feed instagram, TikTok</t>
  </si>
  <si>
    <t>fahdlyathailla@apps.ipb.ac.id</t>
  </si>
  <si>
    <t>Fahdly Athailla Ahmad Fauzan</t>
  </si>
  <si>
    <t>F3401241080</t>
  </si>
  <si>
    <t>082211769512</t>
  </si>
  <si>
    <t>Menjalin Koneksi dengan Sesama Peminat</t>
  </si>
  <si>
    <t>Konsistensi dan komitmen menjalankan bisnis</t>
  </si>
  <si>
    <t>Memulai bisnis sendiri meskipun kecil</t>
  </si>
  <si>
    <t>Akses ke pelatihan wirausaha dengan profesional</t>
  </si>
  <si>
    <t>Fleksibel dan terbuka diskusi, Tegas, disiplin, tapi suportif, Sering berbagi pengalaman pribadi</t>
  </si>
  <si>
    <t>Workshop ide riset atau proposal dari dosen/alumni</t>
  </si>
  <si>
    <t>Rutin memberi arahan dan masukan, Memberi motivasi dan semangat, Memberi contoh ril terkait materi lomba</t>
  </si>
  <si>
    <t>Postingan instagram @ipbprestasi, Postingan instagram BEM KM/BEM Fakultas/Himpunan</t>
  </si>
  <si>
    <t>TikTok, Sosialisasi secara offline, Channel di WA atau IG</t>
  </si>
  <si>
    <t>Mandiri</t>
  </si>
  <si>
    <t>PKM Center</t>
  </si>
  <si>
    <t>Kuliah Tingkat 2 (Semester 3 dan 4)</t>
  </si>
  <si>
    <t>Proses pengajuan atau pencairan fasilitas terlalu panjang dan rumit, Kurang Informasi Mekanisme Pengurusan, Jadwal Operasional Terbatas</t>
  </si>
  <si>
    <t>muhammadalfathaidilamin@apps.ipb.ac.id</t>
  </si>
  <si>
    <t>G7401241074</t>
  </si>
  <si>
    <t>087812005363</t>
  </si>
  <si>
    <t>Kelompok Besar (Pembinaan kelas seperti enrichment dsb.)</t>
  </si>
  <si>
    <t>Fleksibel dan terbuka diskusi, Tegas, disiplin, tapi suportif, Santai dan dapat menjadi teman mengobrol di luar konteks kegiatan/lomba</t>
  </si>
  <si>
    <t>Video pencerdasan, Melalui jaringan komunikasi di grup angkatan, Sosialisasi secara offline</t>
  </si>
  <si>
    <t>Proses pengajuan atau pencairan fasilitas terlalu panjang dan rumit, Waktu proses lama, Minimnya Digitalisasi Pengajuan masih banyak yang harus manual</t>
  </si>
  <si>
    <t>Takut akan penolakan dan Salah Paham (Khawatir perkataan atau tindakan akan disalahartikan, takut tidak diterima dan sangat hati-hati)</t>
  </si>
  <si>
    <t>Nambahin CV dan Peluang ke Depannya</t>
  </si>
  <si>
    <t>Rutin memberi arahan dan masukan, Tegas, disiplin, tapi suportif, Memberi contoh ril terkait materi lomba</t>
  </si>
  <si>
    <t>Poster, Video pencerdasan, Sosialisasi secara offline</t>
  </si>
  <si>
    <t>Prestasi Nasional dan Internasional</t>
  </si>
  <si>
    <t>Kesulitan membaca sistuasi sosial (Bingung menentukan topik pembicaraan yang tepat, merasa seperti orang luar karena tidak mengerti dinamika kelompok)</t>
  </si>
  <si>
    <t>Penyediaan ruang latihan atau simulasi debat</t>
  </si>
  <si>
    <t>Fasilitasi Administratif Kompetitif Mandiri Nasional &amp; International</t>
  </si>
  <si>
    <t>Video tren, Instastory, Feed instagram</t>
  </si>
  <si>
    <t>Proses pengajuan atau pencairan fasilitas terlalu panjang dan rumit, Waktu proses lama, Jadwal Operasional Terbatas</t>
  </si>
  <si>
    <t>Rutin memberi arahan dan masukan, Memberi motivasi dan semangat, Santai dan dapat menjadi teman mengobrol di luar konteks kegiatan/lomba</t>
  </si>
  <si>
    <t>Website IPB Prestasi, Website BEM KM/BEM Fakultas/Himpunan, Postingan instagram @ipbprestasi</t>
  </si>
  <si>
    <t>Video tren, Instastory, Video pencerdasan</t>
  </si>
  <si>
    <t>zidny26ilmannafi@apps.ipb.ac.id</t>
  </si>
  <si>
    <t>Zidny Ilman Nafi</t>
  </si>
  <si>
    <t>M0403241068</t>
  </si>
  <si>
    <t>085156622316</t>
  </si>
  <si>
    <t>Mengembangkan portofolio proyek untuk karier di bidang teknologi</t>
  </si>
  <si>
    <t>Pendampingan dari dosen atau alumni yang lebih kompeten</t>
  </si>
  <si>
    <t>Rutin memberi arahan dan masukan, Sering berbagi pengalaman pribadi, Memberi contoh ril terkait materi lomba</t>
  </si>
  <si>
    <t>Postingan instagram @ipbprestasi, Postingan instagram BEM KM/BEM Fakultas/Himpunan, Informasi yang disebarkan melalui WhatsApp di grup angkatan</t>
  </si>
  <si>
    <t>Manajemen keuangan dasar dan permodalan</t>
  </si>
  <si>
    <t>Pendanaan untuk ide bisnis yang dimiliki</t>
  </si>
  <si>
    <t>Kualitas layanan petugas, Kecepatan proses verifikasi dan persetujuan</t>
  </si>
  <si>
    <t>Postingan instagram @ipbprestasi, Informasi yang disebarkan melalui WhatsApp di grup angkatan</t>
  </si>
  <si>
    <t>Feed instagram, Melalui jaringan komunikasi di grup angkatan, Sosialisasi secara offline</t>
  </si>
  <si>
    <t>.</t>
  </si>
  <si>
    <t>Menghindari Rasa kesendirian dan isolasi (Kerjasama memberikan interaksi sosial yang menyenangkan dan mengurasi rasa jenuh)</t>
  </si>
  <si>
    <t>Informasi yang disebarkan melalui WhatsApp di grup angkatan</t>
  </si>
  <si>
    <t>Jaketos</t>
  </si>
  <si>
    <t>Kesiapan fisik dan mental untuk turun ke lapangan</t>
  </si>
  <si>
    <t>Mengikuti kompetisi di bidang pengabdian masyarakat (PPKO, PKM PM, dll)</t>
  </si>
  <si>
    <t>Pendanaan atau hibah untuk inisiasi program mandiri</t>
  </si>
  <si>
    <t>Meningkatkan kemampuan berpikir kritis terukur (misal asesmen/tes)</t>
  </si>
  <si>
    <t>Dosen yang ahli di bidang terkait, Seangkatan (teman sebaya) yang sudah lebih berpengalaman</t>
  </si>
  <si>
    <t>Sosialisasi program ke mahasiswa, Respons terhadap pertanyaan/ keluhan</t>
  </si>
  <si>
    <t>3 kali</t>
  </si>
  <si>
    <t>Fleksibel dan terbuka diskusi, Memberi motivasi dan semangat, Santai dan dapat menjadi teman mengobrol di luar konteks kegiatan/lomba</t>
  </si>
  <si>
    <t>Masih eksplorasi, belum punya target pasti</t>
  </si>
  <si>
    <t>Workshop teknis pemula secara berkala</t>
  </si>
  <si>
    <t>Instastory, Feed instagram, Video pencerdasan</t>
  </si>
  <si>
    <t>Kemampuan pemecahan masalah terhadap isu sosial sekitar</t>
  </si>
  <si>
    <t>Bantuan logistik dan transportasi ke lokasi pengabdian</t>
  </si>
  <si>
    <t>Rutin memberi arahan dan masukan, Fleksibel dan terbuka diskusi, Santai dan dapat menjadi teman mengobrol di luar konteks kegiatan/lomba</t>
  </si>
  <si>
    <t>Website IPB Prestasi, Postingan instagram @ipbprestasi, Informasi yang disebarkan melalui WhatsApp di grup angkatan</t>
  </si>
  <si>
    <t>Fasilitasi Pendanaan Kompetitif Mandiri Nasional &amp; International, Fasilitasi Administratif Kompetitif Mandiri Nasional &amp; International, Fasilitasi Insentif Prestasi Kompetitif Mandiri</t>
  </si>
  <si>
    <t>Website IPB Prestasi, Website BEM KM/BEM Fakultas/Himpunan</t>
  </si>
  <si>
    <t>Video pencerdasan, Sosialisasi secara offline, Channel di WA atau IG</t>
  </si>
  <si>
    <t>Minimnya Digitalisasi Pengajuan masih banyak yang harus manual, Jadwal Operasional Terbatas, Pendampingan kurang profesional dan tidak berkesan</t>
  </si>
  <si>
    <t>Kemampuan berpikir kritis, logis dan tepat</t>
  </si>
  <si>
    <t>Menjadi perwakilan kampus dalam forum diplomasi (seperti MUN)</t>
  </si>
  <si>
    <t>Pelatihan debat/diplomasi yang aktif dan konsisten</t>
  </si>
  <si>
    <t>Fleksibel dan terbuka diskusi, Memberi motivasi dan semangat, Memberi contoh ril terkait materi lomba</t>
  </si>
  <si>
    <t>Feed instagram, Melalui jaringan komunikasi di grup angkatan, Website</t>
  </si>
  <si>
    <t>Pemahaman dasar elektronika dan mekanik</t>
  </si>
  <si>
    <t>Wadah showcase untuk karya/proyek robotik</t>
  </si>
  <si>
    <t>Feed instagram, Poster, Channel di WA atau IG</t>
  </si>
  <si>
    <t>Rutin memberi arahan dan masukan, Memberi motivasi dan semangat, Tegas, disiplin, tapi suportif</t>
  </si>
  <si>
    <t>Website IPB Prestasi</t>
  </si>
  <si>
    <t>F1401221042</t>
  </si>
  <si>
    <t>089517806889</t>
  </si>
  <si>
    <t>2005rafi@apps.ipb.ac.id</t>
  </si>
  <si>
    <t>Muhammad Rafi Muzakki</t>
  </si>
  <si>
    <t>F2401231065</t>
  </si>
  <si>
    <t>081999291801</t>
  </si>
  <si>
    <t>Keberanian memulai usaha dari nol</t>
  </si>
  <si>
    <t>Event rutin showcase produk/ide bisnis mahasiswa</t>
  </si>
  <si>
    <t>Seangkatan (teman sebaya) yang sudah lebih berpengalaman, Mentor profesional/eksternal dari luar kampus di bidang terkait</t>
  </si>
  <si>
    <t>Rutin memberi arahan dan masukan, Tegas, disiplin, tapi suportif, Santai dan dapat menjadi teman mengobrol di luar konteks kegiatan/lomba</t>
  </si>
  <si>
    <t>Feed instagram, TikTok, Melalui jaringan komunikasi di grup angkatan</t>
  </si>
  <si>
    <t>Komunikatif (Aktif berkomunikasi dan mudah bergaul serta berani memulai percakapan)</t>
  </si>
  <si>
    <t>Lebih memilih pengembangan skill secara natural</t>
  </si>
  <si>
    <t>Bergabung di inkubator bisnis mahasiswa</t>
  </si>
  <si>
    <t>Workshop digital marketing dan legalitas usaha</t>
  </si>
  <si>
    <t>Memberi motivasi dan semangat, Tegas, disiplin, tapi suportif, Sering berbagi pengalaman pribadi</t>
  </si>
  <si>
    <t>Fasilitasi Pendanaan Kompetitif Mandiri Nasional &amp; International, Fasilitasi Administratif Kompetitif Mandiri Nasional &amp; International</t>
  </si>
  <si>
    <t>Website IPB Prestasi, Website BEM KM/BEM Fakultas/Himpunan, Website Fakultas/Program Studi</t>
  </si>
  <si>
    <t>Website Fakultas/Program Studi</t>
  </si>
  <si>
    <t>Video tren, Feed instagram, Poster</t>
  </si>
  <si>
    <t>Seangkatan (teman sebaya) yang sudah lebih berpengalaman</t>
  </si>
  <si>
    <t>Respons terhadap pertanyaan/ keluhan</t>
  </si>
  <si>
    <t>Keterbukaan terhadap masukan dan kritik ilmiah</t>
  </si>
  <si>
    <t>Fleksibel dan terbuka diskusi, Memberi motivasi dan semangat, Tegas, disiplin, tapi suportif</t>
  </si>
  <si>
    <t>Fasilitasi Pembinaan Kompetitif Mandiri Nasional &amp; International, Fasilitasi Insentif Prestasi Kompetitif Mandiri</t>
  </si>
  <si>
    <t>Pendampingan dari alumni yang sudah sukses berbisnis</t>
  </si>
  <si>
    <t>Feed instagram, Poster, Sosialisasi secara offline</t>
  </si>
  <si>
    <t>Proses pengajuan atau pencairan fasilitas terlalu panjang dan rumit, Waktu proses lama, Petugas administrasi, kurang responsif</t>
  </si>
  <si>
    <t>Kualitas layanan petugas, Kecepatan proses verifikasi dan persetujuan, Sosialisasi program ke mahasiswa</t>
  </si>
  <si>
    <t>Risiko dan tekanana tidak ditanggung sendirian, pekerjaan ringan dan cepat ketika dibagi</t>
  </si>
  <si>
    <t>Kepercayaan diri untuk mulai mencoba membuat proyek</t>
  </si>
  <si>
    <t>Tegas, disiplin, tapi suportif, Santai dan dapat menjadi teman mengobrol di luar konteks kegiatan/lomba, Memberi contoh ril terkait materi lomba</t>
  </si>
  <si>
    <t>Website IPB Prestasi, Media cetak (poster) yang ditempel di setiap fakultas, Teman</t>
  </si>
  <si>
    <t>Mengembangkan skill public speaking dan berpikir cepat</t>
  </si>
  <si>
    <t>anindhitaputri@apps.ipb.ac.id</t>
  </si>
  <si>
    <t xml:space="preserve">Anindhita Astri Putri </t>
  </si>
  <si>
    <t>H1401251097</t>
  </si>
  <si>
    <t>085712753615</t>
  </si>
  <si>
    <t>UISP Studentpreneur</t>
  </si>
  <si>
    <t>Akses fasilitas memerlukan banyak persyaratan atau dokumen administratif, Kurang Informasi Mekanisme Pengurusan, Waktu pembinaan kurang panjang</t>
  </si>
  <si>
    <t>Bikin akun Instagram yang memberikan informasi tentang lomba</t>
  </si>
  <si>
    <t>almanurkamila114@gmail.com</t>
  </si>
  <si>
    <t xml:space="preserve">Alma Nurkamila </t>
  </si>
  <si>
    <t>M0401251036</t>
  </si>
  <si>
    <t>087852550672</t>
  </si>
  <si>
    <t>Diskusi Kelompok &amp; Brainstorming Ide</t>
  </si>
  <si>
    <t>Komunikasi &amp; Cara Menyampaikan Ide, Critical Thinking &amp; Penyelesaian Masalah</t>
  </si>
  <si>
    <t>Fokus pada Peran dan Tugas Sendiri Sambil Bantu di Balik Layar</t>
  </si>
  <si>
    <t>mandika03pratama@apps.ipb.ac.id</t>
  </si>
  <si>
    <t xml:space="preserve">Muhammad Andika Pratama </t>
  </si>
  <si>
    <t>M0401251012</t>
  </si>
  <si>
    <t>081273963817</t>
  </si>
  <si>
    <t>Debat dan Diplomasi</t>
  </si>
  <si>
    <t>Karena dalam proses pencarian jati diri masih banyak hal yang perlu di gali dalam diri</t>
  </si>
  <si>
    <t>Kemampuan menyusun argumen secara sistematis</t>
  </si>
  <si>
    <t>Lebih inklusif lagi dalam penyampaiannya dan tidak bersifat eksklusif</t>
  </si>
  <si>
    <t>thesatria@apps.ipb.ac.id</t>
  </si>
  <si>
    <t>Satria Nugraha</t>
  </si>
  <si>
    <t>M0403251074</t>
  </si>
  <si>
    <t>085893332618</t>
  </si>
  <si>
    <t>karena waktu sma lebih tertarik debat dan public speaking</t>
  </si>
  <si>
    <t>Memberi motivasi dan semangat, Tegas, disiplin, tapi suportif, Santai dan dapat menjadi teman mengobrol di luar konteks kegiatan/lomba</t>
  </si>
  <si>
    <t>aiirmanuraeni1@gmail.com</t>
  </si>
  <si>
    <t xml:space="preserve">Au Irma Nuraeni </t>
  </si>
  <si>
    <t>H340251002</t>
  </si>
  <si>
    <t>082165077387</t>
  </si>
  <si>
    <t xml:space="preserve">Takut dan bingung memulai dari mana </t>
  </si>
  <si>
    <t>Mentor profesional/eksternal dari luar kampus di bidang terkait</t>
  </si>
  <si>
    <t>nadirapratya@apps.ipb.ac.id</t>
  </si>
  <si>
    <t>Nadira Pratya Arvi Daulay</t>
  </si>
  <si>
    <t>J0405241065</t>
  </si>
  <si>
    <t>085101493472</t>
  </si>
  <si>
    <t>Ingin mengeksplorasi banyak hal tanpa tekanan</t>
  </si>
  <si>
    <t>Peserta-Internasional-ShARE International Business Case 2026</t>
  </si>
  <si>
    <t>Fasilitasi Pendanaan Kompetitif Mandiri Nasional &amp; International, Fasilitasi Administratif Kompetitif Mandiri Nasional &amp; International, Fasilitasi Pembinaan Kompetitif Mandiri Nasional &amp; International</t>
  </si>
  <si>
    <t>Akses fasilitas memerlukan banyak persyaratan atau dokumen administratif, Waktu proses lama, Jadwal Operasional Terbatas</t>
  </si>
  <si>
    <t>dayamagnetiachannel@gmail.com</t>
  </si>
  <si>
    <t>Daya Magnetia</t>
  </si>
  <si>
    <t>E2401251013</t>
  </si>
  <si>
    <t>085156659770</t>
  </si>
  <si>
    <t>Finalis Study Case Competition LNG Academy 2025</t>
  </si>
  <si>
    <t>Feed instagram, Poster, Website</t>
  </si>
  <si>
    <t>Petugas administrasi, kurang responsif, Jadwal pendampingan berubah secara tiba-tiba, Waktu pembinaan kurang panjang</t>
  </si>
  <si>
    <t>Komunitas yang lebih luas dari yang ada sebelumnya</t>
  </si>
  <si>
    <t>daffafaaizalzakkii@gmail.com</t>
  </si>
  <si>
    <t xml:space="preserve">Daffa Faaiz Al-Zakkii </t>
  </si>
  <si>
    <t>M0401241027</t>
  </si>
  <si>
    <t>085775509768</t>
  </si>
  <si>
    <t>Memiliki kendali penuh atas proses dan hasil (bebas menentukan metode, prioritas dan langkah kerja sendiri serta tidak perlu kompromi atau menunggu persetujuan orang lain)</t>
  </si>
  <si>
    <t>Juara 1-Kabupaten-OSNK Matematika-2023
Delegasi IPB-Nasional-SATRIA DATA-2025
Semifinalis-Nasional-Gammafest GSB IPB-2025</t>
  </si>
  <si>
    <t>amrhhsyifa@gmail.com</t>
  </si>
  <si>
    <t>Amirah Syifa Syarifah</t>
  </si>
  <si>
    <t>H5401231094</t>
  </si>
  <si>
    <t>085817185009</t>
  </si>
  <si>
    <t>Mengikuti kegiatan pengabdia yangbukan kompetisi, seperti kepanitiaan atau organisasi saja. Dan pernah memcoba ppko tp tidak lolos</t>
  </si>
  <si>
    <t>Menyusun dan menjalankan program sosial yang berdampak nyata bagi  masyarakat</t>
  </si>
  <si>
    <t>Kemitraan dengan desa/kelompok masyarakat yang konsisten</t>
  </si>
  <si>
    <t>belum terlalu minat tapi merasa butuh</t>
  </si>
  <si>
    <t>Fasilitasi Pendanaan Kompetitif Mandiri Nasional &amp; International, Fasilitasi Insentif Prestasi Kompetitif Mandiri</t>
  </si>
  <si>
    <t xml:space="preserve">Proses pengajuan atau pencairan fasilitas terlalu panjang dan rumit, Kurang Informasi Mekanisme Pengurusan, </t>
  </si>
  <si>
    <t>azzahragayatri@apps.ipb.ac.id</t>
  </si>
  <si>
    <t xml:space="preserve">Azzahra Gayatri Setiawan </t>
  </si>
  <si>
    <t>J0414241144</t>
  </si>
  <si>
    <t>08111612313</t>
  </si>
  <si>
    <t>Belum punya target pasti, masih eksplorasi</t>
  </si>
  <si>
    <t>Instastory, TikTok, Sosialisasi secara offline</t>
  </si>
  <si>
    <t>rasheedrodhiya@apps.ipb.ac.id</t>
  </si>
  <si>
    <t xml:space="preserve">Robi Rodhiya </t>
  </si>
  <si>
    <t>J0406241071</t>
  </si>
  <si>
    <t>08988014038</t>
  </si>
  <si>
    <t>Juara 2 Essay Kewirausahaan 2025 HIMADIKTAR UNTIDAR
Juara 3 Business Plan Pameran Inovasi Pangan 2025 HIMAVOPAGI IPB</t>
  </si>
  <si>
    <t>Fleksibel dan terbuka diskusi, Sering berbagi pengalaman pribadi, Memberi contoh ril terkait materi lomba</t>
  </si>
  <si>
    <t>Jadwal Operasional Terbatas, Pendampingan kurang profesional dan tidak berkesan, Waktu pembinaan kurang panjang</t>
  </si>
  <si>
    <t>saya harap Pendamping lomba dapat ditemukan lebih mudah</t>
  </si>
  <si>
    <t>Juara 6-Kabupaten-OSN Matematika-2024</t>
  </si>
  <si>
    <t>Akses fasilitas memerlukan banyak persyaratan atau dokumen administratif, Jadwal Operasional Terbatas, Waktu pembinaan kurang panjang</t>
  </si>
  <si>
    <t>Adanya pembinaan secara luring</t>
  </si>
  <si>
    <t>ellyannafilia@apps.ipb.ac.id</t>
  </si>
  <si>
    <t>Ellyanna Filia Romora</t>
  </si>
  <si>
    <t>J0414241060</t>
  </si>
  <si>
    <t>087776411045</t>
  </si>
  <si>
    <t>Juara 1-Nasional-Economic Festival FEB Unpad-2025
Best Strategic Analysis-Nasional-IDEANATION SB IPB-2025
Finalis-IPB-Faculty War-2025</t>
  </si>
  <si>
    <t>Strategi pemasaran dan branding di media sosial</t>
  </si>
  <si>
    <t>Fasilitasi Pendanaan Kompetitif Mandiri Nasional &amp; International, Fasilitasi Pembinaan Kompetitif Mandiri Nasional &amp; International</t>
  </si>
  <si>
    <t>Akses fasilitas memerlukan banyak persyaratan atau dokumen administratif, Pendampingan kurang profesional dan tidak berkesan, Waktu pembinaan kurang panjang</t>
  </si>
  <si>
    <t>Pelaksanaan mentoring kurang memuaskan, mentor kurang aktif dan belum terlalu mendampingi secara intensif ke mahasiswa</t>
  </si>
  <si>
    <t>sketsasmaradhana@apps.ipb.ac.id</t>
  </si>
  <si>
    <t>Sketsa Smaradhana Bumi</t>
  </si>
  <si>
    <t>A2401241022</t>
  </si>
  <si>
    <t>089513239755</t>
  </si>
  <si>
    <t>The Active Organizer: Terbukti Berogranisasi dan Berkembang (Aktif dalam organisasi kemahasiswaan (BEM, HIMPRO, UKM) dan Berbagai Kepanitian)</t>
  </si>
  <si>
    <t xml:space="preserve">Tidak pernah mempunyai kesempatan untuk mengikuti, mulai dari kesulitan mencari tim dan tidak ada mentor </t>
  </si>
  <si>
    <t>Fitur pencarian tim untuk mengikuti lomba, memang sudah ada fitur di student portal di bagian kemahasiswaan tetapi masih sedikit mahasiswa yang mengetahui hal tersebut sehingga tidak efektif, saran saya buag komunitas prestasi atau grup chat yang berisi orang orang yang memiliki minat mengikuti lomba</t>
  </si>
  <si>
    <t>sekarlaras.1209@gmail.com</t>
  </si>
  <si>
    <t xml:space="preserve">Sekar Laras Ayuning Karti </t>
  </si>
  <si>
    <t>M0404241058</t>
  </si>
  <si>
    <t>088238089226</t>
  </si>
  <si>
    <t>Keterbatasan pengalaman dengan perubahan (Tidak terbiasa berada di lingkungan yang benar-benar baru dan kurangnya referensi untuk menghadapi situasi seperti ini)</t>
  </si>
  <si>
    <t>SD</t>
  </si>
  <si>
    <t>Delegasi ONMIPA Matematika IPB 2025
Sedang draft 2 PKM PM IPB 2026
Finalis Mahasiswa Berprestasi SSMI 2026</t>
  </si>
  <si>
    <t>Pendanaannya, latihannya terlalu minim, kurang banyak resource nya</t>
  </si>
  <si>
    <t>10 kali</t>
  </si>
  <si>
    <t>Banyak</t>
  </si>
  <si>
    <t>jonggol2802hamdi@apps.ipb.ac.id</t>
  </si>
  <si>
    <t xml:space="preserve">Muhammad Hamdi Muntazir </t>
  </si>
  <si>
    <t>M0402241012</t>
  </si>
  <si>
    <t>081380823629</t>
  </si>
  <si>
    <t xml:space="preserve">PSN ipb lomba karya ilmiah populer dan matematika tingkat peserta </t>
  </si>
  <si>
    <t>Website IPB Prestasi, Website Fakultas/Program Studi, Informasi yang disebarkan melalui WhatsApp di grup angkatan</t>
  </si>
  <si>
    <t>Video tren, Video pencerdasan, Channel di WA atau IG</t>
  </si>
  <si>
    <t>imazetiyaazetiya@apps.ipb.ac.id</t>
  </si>
  <si>
    <t>Azetiya Ezzah Manha</t>
  </si>
  <si>
    <t>M0402251014</t>
  </si>
  <si>
    <t>085846782066</t>
  </si>
  <si>
    <t>Website Fakultas/Program Studi, Postingan instagram @ipbprestasi</t>
  </si>
  <si>
    <t>Video tren, TikTok, Channel di WA atau IG</t>
  </si>
  <si>
    <t>ipb15abeezar@apps.ipb.ac.id</t>
  </si>
  <si>
    <t>Abeezar Al Amir Rochman</t>
  </si>
  <si>
    <t>H4401241035</t>
  </si>
  <si>
    <t>087820608613</t>
  </si>
  <si>
    <t>Feed instagram, Video pencerdasan, TikTok</t>
  </si>
  <si>
    <t>Minimnya Digitalisasi Pengajuan masih banyak yang harus manual, Petugas administrasi, kurang responsif, Jadwal Operasional Terbatas</t>
  </si>
  <si>
    <t xml:space="preserve">. </t>
  </si>
  <si>
    <t>kamilarania@apps.ipb.ac.id</t>
  </si>
  <si>
    <t>Rania Kamila</t>
  </si>
  <si>
    <t>H4401241097</t>
  </si>
  <si>
    <t>082210529298</t>
  </si>
  <si>
    <t>Juara 3 BPC Alacazam (2022)</t>
  </si>
  <si>
    <t>TikTok, Melalui jaringan komunikasi di grup angkatan, Channel di WA atau IG</t>
  </si>
  <si>
    <t>buat lebih banyak pelatihan untuk strategi lomba seperti BPC dan BCC</t>
  </si>
  <si>
    <t>wijdanmanar@apps.ipb.ac.id</t>
  </si>
  <si>
    <t xml:space="preserve">Wijdan manar suriadarma </t>
  </si>
  <si>
    <t xml:space="preserve">M0405251068 </t>
  </si>
  <si>
    <t>085283952286</t>
  </si>
  <si>
    <t xml:space="preserve">Mandiri eligible snbp </t>
  </si>
  <si>
    <t xml:space="preserve">IT YIELDS ECONOMIC </t>
  </si>
  <si>
    <t>Memberi motivasi dan semangat, Sering berbagi pengalaman pribadi, Santai dan dapat menjadi teman mengobrol di luar konteks kegiatan/lomba</t>
  </si>
  <si>
    <t>Instastory, TikTok, Website</t>
  </si>
  <si>
    <t>priciliabutarbutar@apps.ipb.ac.id</t>
  </si>
  <si>
    <t>Pricilia Butar Butar</t>
  </si>
  <si>
    <t>M0402251081</t>
  </si>
  <si>
    <t>0822/1083543</t>
  </si>
  <si>
    <t>Tegas, disiplin, tapi suportif, Sering berbagi pengalaman pribadi, Memberi contoh ril terkait materi lomba</t>
  </si>
  <si>
    <t>raniarachmadhani@apps.ipb.ac.id</t>
  </si>
  <si>
    <t xml:space="preserve">Rania Fakhira Rachmadhani </t>
  </si>
  <si>
    <t>J0414241161</t>
  </si>
  <si>
    <t>082114497330</t>
  </si>
  <si>
    <t xml:space="preserve">Regional entrepreneurship program - Zurich Indonesia </t>
  </si>
  <si>
    <t>Video tren, Instastory, Channel di WA atau IG</t>
  </si>
  <si>
    <t>Kecepatan proses verifikasi dan persetujuan, Respons terhadap pertanyaan/ keluhan</t>
  </si>
  <si>
    <t>fdhelsultan@apps.ipb.ac.id</t>
  </si>
  <si>
    <t xml:space="preserve">Sultan Fadhel Abdeelah </t>
  </si>
  <si>
    <t>D2401251129</t>
  </si>
  <si>
    <t>085776159551</t>
  </si>
  <si>
    <t xml:space="preserve">kurangnya pengetahuan dan informasi terkait kompetisi </t>
  </si>
  <si>
    <t>Video tren, Feed instagram, Video pencerdasan</t>
  </si>
  <si>
    <t>naufalrmmnaufal@apps.ipb.ac.id</t>
  </si>
  <si>
    <t>Naufal Rafilah Maisur Maziz</t>
  </si>
  <si>
    <t>J0408251060</t>
  </si>
  <si>
    <t>081212548536</t>
  </si>
  <si>
    <t>jatah pegawai</t>
  </si>
  <si>
    <t>karena saya pemalu dan saya ga berani mulai</t>
  </si>
  <si>
    <t>Proses pengajuan atau pencairan fasilitas terlalu panjang dan rumit, Minimnya Digitalisasi Pengajuan masih banyak yang harus manual, Jadwal Operasional Terbatas</t>
  </si>
  <si>
    <t>membina mahasiwa untuk menjadi prestasi</t>
  </si>
  <si>
    <t>hilmarahmi@apps.ipb.ac.id</t>
  </si>
  <si>
    <t>Hilma Rahmi Fauziah</t>
  </si>
  <si>
    <t>F2401231068</t>
  </si>
  <si>
    <t>085218453048</t>
  </si>
  <si>
    <t>Juara 2 food product development FPDC 2025
Finalis nasional food teknologi competition NFTC 2025
Lulus proposal PKM-GFT hingga tingkat IPB 2025</t>
  </si>
  <si>
    <t>Fleksibel dan terbuka diskusi, Sering berbagi pengalaman pribadi, Santai dan dapat menjadi teman mengobrol di luar konteks kegiatan/lomba</t>
  </si>
  <si>
    <t>Video tren, Feed instagram, Melalui jaringan komunikasi di grup angkatan</t>
  </si>
  <si>
    <t>Sebenarnya fasilitas kompetitif sudah cukup bagus tapi kadang masih suka lama untuk mengurusnya misalnya kita udah udah ngajuin proposal tapi dana yang disetujui atau proses verifikasi membutuhkan waktu selain itu juga untuk pengisian atau untuk waktu verifikasi saat intensif Mandiri terkadang tidak dikasih tahu tanggal berapa bahwa pengumuman hasil intensif Mandiri itu diumumkan jadi kayak kita harus rajin Emang check Instagramnya dari IPB prestasi juga atau mungkin sebaiknya bisa buat email otomatis ke si penerima jadi bisa ngeh gitu Kalau misalnya udah ada atau dana sudah cair gitu</t>
  </si>
  <si>
    <t>febriyantiiiriri@apps.ipb.ac.id</t>
  </si>
  <si>
    <t>Riri Febriyanti Suwiryo</t>
  </si>
  <si>
    <t>J0402241042</t>
  </si>
  <si>
    <t>081222776532</t>
  </si>
  <si>
    <t>Website IPB Prestasi, Website Fakultas/Program Studi</t>
  </si>
  <si>
    <t>tdk thu</t>
  </si>
  <si>
    <t>ramafadholi@apps.ipb.ac.id</t>
  </si>
  <si>
    <t>Muhammad Ramadhan Fadholi</t>
  </si>
  <si>
    <t>J0414251157</t>
  </si>
  <si>
    <t>085609906882</t>
  </si>
  <si>
    <t>Juara 1-Nasional-Essay ISAAC-2025
Juara 1-Nasional-Essay EEC-2025
Juara 2-Nasional-Essay Gempara-2025</t>
  </si>
  <si>
    <t>Instastory, Feed instagram, Website</t>
  </si>
  <si>
    <t>Proses pengajuan atau pencairan fasilitas terlalu panjang dan rumit, Waktu proses lama, Kurang Informasi Mekanisme Pengurusan</t>
  </si>
  <si>
    <t>hanifahainunnisa@apps.ipb.ac.id</t>
  </si>
  <si>
    <t>Hanifah Ainun Nisa</t>
  </si>
  <si>
    <t>J0410251042</t>
  </si>
  <si>
    <t>089631284717</t>
  </si>
  <si>
    <t>Video tren, Video pencerdasan, Sosialisasi secara offline</t>
  </si>
  <si>
    <t>discaniamartiani@apps.ipb.ac.id</t>
  </si>
  <si>
    <t xml:space="preserve">Discania Martiani Samsudin </t>
  </si>
  <si>
    <t>J1410221095</t>
  </si>
  <si>
    <t>083822308115</t>
  </si>
  <si>
    <t xml:space="preserve">Belum berkesempatan ikut kompetisi </t>
  </si>
  <si>
    <t>Kuliah Tingkat 4 (Semester 7 dan 8)</t>
  </si>
  <si>
    <t xml:space="preserve"> </t>
  </si>
  <si>
    <t>iotbanumaesha@apps.ipb.ac.id</t>
  </si>
  <si>
    <t>Banu Maesha</t>
  </si>
  <si>
    <t>A0401251030</t>
  </si>
  <si>
    <t>085159531107</t>
  </si>
  <si>
    <t>Karena baru tertarik di kelas 12, dan sekarang masih semester 2 dan baru bergabung IPB Robotic Club</t>
  </si>
  <si>
    <t>Kemampuan kerja sama dalam tim teknis</t>
  </si>
  <si>
    <t>Memberi motivasi dan semangat, Sering berbagi pengalaman pribadi, Memberi contoh ril terkait materi lomba</t>
  </si>
  <si>
    <t>afrimadonidinata@apps.ipb.ac.id</t>
  </si>
  <si>
    <t>Afrimadoni Dinata</t>
  </si>
  <si>
    <t>M05032510007</t>
  </si>
  <si>
    <t>081284207297</t>
  </si>
  <si>
    <t>Sibuk bekerja</t>
  </si>
  <si>
    <t>Sosialisasi secara offline, Website, Channel di WA atau IG</t>
  </si>
  <si>
    <t>Program tidak terbuka untuk mahasiswa di semua jenjang (S2 / S3)</t>
  </si>
  <si>
    <t>Buka peluang untuk mahasiswa dari S2 dan S3</t>
  </si>
  <si>
    <t>mhdnaufalzacky10@gmail.com</t>
  </si>
  <si>
    <t>Muhammad Naufal Zacky Manurung</t>
  </si>
  <si>
    <t>A4401231042</t>
  </si>
  <si>
    <t>085362906699</t>
  </si>
  <si>
    <t>Sayembara Desain, MTQ</t>
  </si>
  <si>
    <t>Kepercayaan diri saat berbicara di depan umum</t>
  </si>
  <si>
    <t>Video tren, Feed instagram, TikTok</t>
  </si>
  <si>
    <t>Semoga bisa lebih tersosialisaski terkair detail” yang dimaksud sebelumnya dan jenis lomba-lomba yang di bersamai bisa lebih mereta ke banyak bidang lomba</t>
  </si>
  <si>
    <t>abdullahammarabbaniyyin@gmail.com</t>
  </si>
  <si>
    <t xml:space="preserve">Abdullah' Ammar Rabbaniyyin </t>
  </si>
  <si>
    <t>M0401241066</t>
  </si>
  <si>
    <t>081288593267</t>
  </si>
  <si>
    <t>Takut</t>
  </si>
  <si>
    <t>rasyadanhaikal@apps.ipb.ac.id</t>
  </si>
  <si>
    <t>Muhammad Haikal Rasyadan</t>
  </si>
  <si>
    <t>G1401221026</t>
  </si>
  <si>
    <t>089601645934</t>
  </si>
  <si>
    <t>Finalist-International-RASIO-2025</t>
  </si>
  <si>
    <t>pratiwiadinda@apps.ipb.ac.id</t>
  </si>
  <si>
    <t xml:space="preserve">Adinda Pratiwi </t>
  </si>
  <si>
    <t>G1401221041</t>
  </si>
  <si>
    <t>085216438204</t>
  </si>
  <si>
    <t xml:space="preserve">Belum bisa manajemen waktu dengan baik </t>
  </si>
  <si>
    <t>syekhoniahmad@apps.ipb.ac.id</t>
  </si>
  <si>
    <t>Ahmad Syekhoni</t>
  </si>
  <si>
    <t>G3401241081</t>
  </si>
  <si>
    <t>085774911334</t>
  </si>
  <si>
    <t>Mendapatkan Apresiasi dan Pengakuan</t>
  </si>
  <si>
    <t>1. Peringkat 10 OSN-K Biologi
2. Peringkat 4 Olimpiade Literasi dan Numerasi</t>
  </si>
  <si>
    <t>Instastory, Feed instagram, Melalui jaringan komunikasi di grup angkatan</t>
  </si>
  <si>
    <t>Proses pengajuan atau pencairan fasilitas terlalu panjang dan rumit, Akses fasilitas memerlukan banyak persyaratan atau dokumen administratif, Kurang Informasi Mekanisme Pengurusan</t>
  </si>
  <si>
    <t>Lebih dipermudah aja alurnya</t>
  </si>
  <si>
    <t>abieseptian@apps.ipb.ac.id</t>
  </si>
  <si>
    <t xml:space="preserve">Abie Septian Wibowo </t>
  </si>
  <si>
    <t>G1401231069</t>
  </si>
  <si>
    <t>085758834417</t>
  </si>
  <si>
    <t>Peserta KSN Fisika 2022, Peserta Analisis Statistika Poisson, Peserta Dashboard Competition Gelar rasa</t>
  </si>
  <si>
    <t>aull2996sifa@apps.ipb.ac.id</t>
  </si>
  <si>
    <t>Sifa Aulia Ramadani</t>
  </si>
  <si>
    <t>H3401241047</t>
  </si>
  <si>
    <t>082120800965</t>
  </si>
  <si>
    <t>8kali</t>
  </si>
  <si>
    <t>Website IPB Prestasi, Postingan instagram @ipbprestasi, Dosen</t>
  </si>
  <si>
    <t>aufayasmin@apps.ipb.ac.id</t>
  </si>
  <si>
    <t>Yasmin Aufaahani Abdullah</t>
  </si>
  <si>
    <t>M0401241129</t>
  </si>
  <si>
    <t>082390202166</t>
  </si>
  <si>
    <t>Konsistensi dalam kegiatan jangka panjang</t>
  </si>
  <si>
    <t>Pengakuan formal (SKPI, sertifikat, konversi kredit)</t>
  </si>
  <si>
    <t>Video tren, Feed instagram, Channel di WA atau IG</t>
  </si>
  <si>
    <t xml:space="preserve">- </t>
  </si>
  <si>
    <t>haikalraflyjauhary@apps.ipb.ac.id</t>
  </si>
  <si>
    <t>Muhammad Haikal Rafly Jauhary</t>
  </si>
  <si>
    <t>D1401241127</t>
  </si>
  <si>
    <t>085724934829</t>
  </si>
  <si>
    <t xml:space="preserve">Belum memahami kompetisi bisnis. </t>
  </si>
  <si>
    <t>Masih tahap belajar, ingin tahu lebih dulu</t>
  </si>
  <si>
    <t>jamilsatrio@apps.ipb.ac.id</t>
  </si>
  <si>
    <t>Mohammad Jamil Satrio Wahyudianto</t>
  </si>
  <si>
    <t>J0404241015</t>
  </si>
  <si>
    <t>085719651960</t>
  </si>
  <si>
    <t>ICT - Jaringan dan Sistem Administrator</t>
  </si>
  <si>
    <t>Belum tertarik</t>
  </si>
  <si>
    <t>Kolaborasi antar fakultas untuk kegiatan debat lintas jurusan</t>
  </si>
  <si>
    <t xml:space="preserve">Mungkin dapat diberlakukan sistem pemberian 50% biaya dari keseluruhan yang disetujui sehingga proses terkait pencairsn dana tidak terlalu lama dan membebani mahasiswa. </t>
  </si>
  <si>
    <t>wiskafirdauswiska@apps.ipb.ac.id</t>
  </si>
  <si>
    <t>Wiska Radhia Firdaus</t>
  </si>
  <si>
    <t>G1401231017</t>
  </si>
  <si>
    <t>089618568757</t>
  </si>
  <si>
    <t>Satria Data</t>
  </si>
  <si>
    <t>Website IPB Prestasi, Teman</t>
  </si>
  <si>
    <t>belum pernah menggunakan</t>
  </si>
  <si>
    <t>tidak menggunakan</t>
  </si>
  <si>
    <t>rafidwahyu@apps.ipb.ac.id</t>
  </si>
  <si>
    <t>Rafid Wahyu Aditya</t>
  </si>
  <si>
    <t>J0403241072</t>
  </si>
  <si>
    <t>081945859555</t>
  </si>
  <si>
    <t>Belum pernah ada yang juara.
SRIFOTON Competitive Programming (2024)
NETCOMP UGM Capture The Flag (2026)
ARKAVIDIA Capture The Flag (2026)
ARA ITS Capture The Flag (2026)</t>
  </si>
  <si>
    <t>Feed instagram, Poster, Video pencerdasan</t>
  </si>
  <si>
    <t>Tidak ada</t>
  </si>
  <si>
    <t>azmizaeni13@gmail.com</t>
  </si>
  <si>
    <t>Mohammad Azmi Zaeni</t>
  </si>
  <si>
    <t>J0403251120</t>
  </si>
  <si>
    <t>085184572007</t>
  </si>
  <si>
    <t>KTI, Essay</t>
  </si>
  <si>
    <t>Lebih cepat tanggap</t>
  </si>
  <si>
    <t>afifasya12afifah@apps.ipb.ac.id</t>
  </si>
  <si>
    <t>Afifah Wafa Syahidah</t>
  </si>
  <si>
    <t>A0401241002</t>
  </si>
  <si>
    <t>081210196565</t>
  </si>
  <si>
    <t>siti_maemunah@apps.ipb.ac.id</t>
  </si>
  <si>
    <t>Siti Maemunah</t>
  </si>
  <si>
    <t>G7401231057</t>
  </si>
  <si>
    <t>089621972885</t>
  </si>
  <si>
    <t>Prestasi Olahraga</t>
  </si>
  <si>
    <t>Kegiatan Organisasi &amp; Event Kampus</t>
  </si>
  <si>
    <t>Komunikasi &amp; Cara Menyampaikan Ide, Manajemen Waktu &amp; Atur Prioritas, Critical Thinking &amp; Penyelesaian Masalah</t>
  </si>
  <si>
    <t>Amati Dulu Situasinya, Baru Ambil Tindakan Setelah Paham Betul</t>
  </si>
  <si>
    <t>ICT-Robotika</t>
  </si>
  <si>
    <t>Video tren, Poster, Channel di WA atau IG</t>
  </si>
  <si>
    <t>adhwaalghazian@apps.ipb.ac.id</t>
  </si>
  <si>
    <t>Adhwa Al Ghazian Ariyanto</t>
  </si>
  <si>
    <t>J0408251017</t>
  </si>
  <si>
    <t>085210162057</t>
  </si>
  <si>
    <t>belum paham harus mulai darimana</t>
  </si>
  <si>
    <t>tidak</t>
  </si>
  <si>
    <t>c1401241097fahri@apps.ipb.ac.id</t>
  </si>
  <si>
    <t>MUHAMMAD FAHRI</t>
  </si>
  <si>
    <t>C1401241097</t>
  </si>
  <si>
    <t>0895620799158</t>
  </si>
  <si>
    <t>Musik seperti marching band dan orcestra</t>
  </si>
  <si>
    <t>Debat sebagai opsi bagi saya saya lebih mendahulukan hobi musik baru debat</t>
  </si>
  <si>
    <t>Mahasiswa Berprestasi</t>
  </si>
  <si>
    <t xml:space="preserve">Lebih suka ke musim sih </t>
  </si>
  <si>
    <t>Sosialisasi program ke mahasiswa, Respons terhadap pertanyaan/ keluhan, Saling terbuka</t>
  </si>
  <si>
    <t>Lebih aktif mengekspor prestasi prestasi bukan hanya akademik tapi non akademis juga seperti seni,musik dll</t>
  </si>
  <si>
    <t>syifauziah@apps.ipb.ac.id</t>
  </si>
  <si>
    <t>Syifa Fauziah</t>
  </si>
  <si>
    <t>K1401241123</t>
  </si>
  <si>
    <t>085772608783</t>
  </si>
  <si>
    <t>Semi Finalist-Nasional-IPB Business Festival-2024</t>
  </si>
  <si>
    <t>Fasilitasi Administratif Kompetitif Mandiri Nasional &amp; International, Fasilitasi Pembinaan Kompetitif Mandiri Nasional &amp; International</t>
  </si>
  <si>
    <t>TikTok, Melalui jaringan komunikasi di grup angkatan, Sosialisasi secara offline</t>
  </si>
  <si>
    <t>Kurang Informasi Mekanisme Pengurusan, Jadwal Operasional Terbatas, Waktu pembinaan kurang panjang</t>
  </si>
  <si>
    <t>febrilianaptfebriliana@apps.ipb.ac.id</t>
  </si>
  <si>
    <t>Febriliana Putri</t>
  </si>
  <si>
    <t>J0404231041</t>
  </si>
  <si>
    <t>085811517065</t>
  </si>
  <si>
    <t>memilih pengabdian</t>
  </si>
  <si>
    <t>sesuai dengan isian evaluasi</t>
  </si>
  <si>
    <t>sdsdaquila@apps.ipb.ac.id</t>
  </si>
  <si>
    <t xml:space="preserve">Aquila Putra Njatakoesoema </t>
  </si>
  <si>
    <t xml:space="preserve">M0401241086 </t>
  </si>
  <si>
    <t>08989190158</t>
  </si>
  <si>
    <t>Postingan instagram BEM KM/BEM Fakultas/Himpunan, Informasi yang disebarkan melalui WhatsApp di grup angkatan, Teman</t>
  </si>
  <si>
    <t>alhambraraja@apps.ipb.ac.id</t>
  </si>
  <si>
    <t>Alhambra Raja Nirwana</t>
  </si>
  <si>
    <t>J0407251014</t>
  </si>
  <si>
    <t>081288458655</t>
  </si>
  <si>
    <t>Juara 2-Nasional-Bahasa Indonesia OSQI
Medali Emas bahasa Inggris
Medali perak biologi</t>
  </si>
  <si>
    <t>Website IPB Prestasi, Informasi yang disebarkan melalui WhatsApp di grup angkatan</t>
  </si>
  <si>
    <t>Melalui jaringan komunikasi di grup angkatan, Sosialisasi secara offline, Channel di WA atau IG</t>
  </si>
  <si>
    <t>mungkin ada beberapa mahasiswa yang belum terpoles/tidak tau mereka punya potensi. bisa disadarkan lewat sosialisasi untuk membangun kepercayaan diri nya</t>
  </si>
  <si>
    <t>hichaliqbal@apps.ipb.ac.id</t>
  </si>
  <si>
    <t>Hichal Iqbal Nurlette</t>
  </si>
  <si>
    <t>J1402241026</t>
  </si>
  <si>
    <t>085759272675</t>
  </si>
  <si>
    <t xml:space="preserve">Belum ada yang cocok </t>
  </si>
  <si>
    <t>Instastory, Poster, Sosialisasi secara offline</t>
  </si>
  <si>
    <t>adin152516benedict@apps.ipb.ac.id</t>
  </si>
  <si>
    <t xml:space="preserve">Adin Benedict </t>
  </si>
  <si>
    <t>H1401231105</t>
  </si>
  <si>
    <t>082122951315</t>
  </si>
  <si>
    <t>Manajemen Waktu &amp; Atur Prioritas, Critical Thinking &amp; Penyelesaian Masalah</t>
  </si>
  <si>
    <t>sejauh ini belum ada</t>
  </si>
  <si>
    <t>muhamadfarhanmuhamad@apps.ipb.ac.id</t>
  </si>
  <si>
    <t>Muhamad Farhan Nawawi</t>
  </si>
  <si>
    <t>J0410251319</t>
  </si>
  <si>
    <t>083893963720</t>
  </si>
  <si>
    <t>edlynaisha@apps.ipb.ac.id</t>
  </si>
  <si>
    <t>Edlyn Aisha Maharani</t>
  </si>
  <si>
    <t>M0401241007</t>
  </si>
  <si>
    <t>081212920557</t>
  </si>
  <si>
    <t xml:space="preserve">Belum menguasai seutuhnya dan belum belajar dengan giat dan bersungguh-sungguh </t>
  </si>
  <si>
    <t>retnoalfitra10@gmail.com</t>
  </si>
  <si>
    <t xml:space="preserve">Retno Alfitra </t>
  </si>
  <si>
    <t>J0415241033</t>
  </si>
  <si>
    <t>081261877580</t>
  </si>
  <si>
    <t xml:space="preserve">Debat dan diplomasi, pengabdian, sains dan penalaran </t>
  </si>
  <si>
    <t xml:space="preserve">belum pernah mengikuti lomba resmi namun saya pernah mengikuti lomba debat non resmi, dan terpilih menjadi Anggota IDC namun karena sakit saya harus merelakan hal tersebut, akan tetapi jujur dalam hati saya, saya ingin mengikuti lomba dan mengembangkan bakat saya dibidang tersebut </t>
  </si>
  <si>
    <t>Membangun portofolio prestasi untuk beasiswa atau karier</t>
  </si>
  <si>
    <t>tidak tau karena saya baru akan mencoba lagi tahun ini</t>
  </si>
  <si>
    <t>Feed instagram, TikTok, Sosialisasi secara offline</t>
  </si>
  <si>
    <t>adzlanjihan@gmail.com</t>
  </si>
  <si>
    <t>Jihan Adzhani Maulana</t>
  </si>
  <si>
    <t>A4401241005</t>
  </si>
  <si>
    <t>081324915258</t>
  </si>
  <si>
    <t>sayembara design</t>
  </si>
  <si>
    <t>belum</t>
  </si>
  <si>
    <t>kurang minat di kompetisi debat</t>
  </si>
  <si>
    <t>semoga di kuatkan untuk mentor sayembara design arsitektur khusus nya landscape</t>
  </si>
  <si>
    <t>alfarazizfal@apps.ipb.ac.id</t>
  </si>
  <si>
    <t>Al Farazi Zacky Farsyah</t>
  </si>
  <si>
    <t>A4401241025</t>
  </si>
  <si>
    <t>085156246960</t>
  </si>
  <si>
    <t>50 besar Business case ITB</t>
  </si>
  <si>
    <t>Postingan instagram @ipbprestasi, Postingan tiktok, Informasi yang disebarkan melalui WhatsApp di grup angkatan</t>
  </si>
  <si>
    <t>Feed instagram, Poster, TikTok</t>
  </si>
  <si>
    <t>dianfelisia06@gmail.com</t>
  </si>
  <si>
    <t>Dian Felisia Elrica aqila</t>
  </si>
  <si>
    <t>F4401241020</t>
  </si>
  <si>
    <t>083898336109</t>
  </si>
  <si>
    <t>Dulu ikutnya yg olahraga</t>
  </si>
  <si>
    <t>Akses fasilitas memerlukan banyak persyaratan atau dokumen administratif, Waktu proses lama, Kurang Informasi Mekanisme Pengurusan</t>
  </si>
  <si>
    <t>dewantoaditya06@gmail.com</t>
  </si>
  <si>
    <t>Aditya Dewanto</t>
  </si>
  <si>
    <t>H2401221034</t>
  </si>
  <si>
    <t>085156265588</t>
  </si>
  <si>
    <t>Prioritas yang berbeda di masa kuliah</t>
  </si>
  <si>
    <t>Rutin memberi arahan dan masukan, Memberi motivasi dan semangat, Sering berbagi pengalaman pribadi</t>
  </si>
  <si>
    <t>Akses fasilitas memerlukan banyak persyaratan atau dokumen administratif, Waktu proses lama, Minimnya Digitalisasi Pengajuan masih banyak yang harus manual</t>
  </si>
  <si>
    <t>Kualitas layanan petugas, Sosialisasi program ke mahasiswa, Respons terhadap pertanyaan/ keluhan</t>
  </si>
  <si>
    <t>Naikin duitnya jadi 5 juta untuk juara 1</t>
  </si>
  <si>
    <t>thaariqmuzamil343@gmail.com</t>
  </si>
  <si>
    <t>Thaariq Abdul Muzammil</t>
  </si>
  <si>
    <t>Website Fakultas/Program Studi, Postingan tiktok, Media cetak (poster) yang ditempel di setiap fakultas</t>
  </si>
  <si>
    <t>Instastory, Poster, Video pencerdasan</t>
  </si>
  <si>
    <t>Proses pengajuan atau pencairan fasilitas terlalu panjang dan rumit, Jadwal Operasional Terbatas, Waktu pembinaan kurang panjang</t>
  </si>
  <si>
    <t>+</t>
  </si>
  <si>
    <t>rizi25muhamad@apps.ipb.ac.id</t>
  </si>
  <si>
    <t>Muhamad Rizi</t>
  </si>
  <si>
    <t>F4401231002</t>
  </si>
  <si>
    <t>085213558258</t>
  </si>
  <si>
    <t>Banyak tugas</t>
  </si>
  <si>
    <t>Website IPB Prestasi, Website Fakultas/Program Studi, Teman</t>
  </si>
  <si>
    <t>Poster, Sosialisasi secara offline, Channel di WA atau IG</t>
  </si>
  <si>
    <t>abdillahaulia@apps.ipb.ac.id</t>
  </si>
  <si>
    <t>Muhammad Nur Abdillah Aulia</t>
  </si>
  <si>
    <t>E4401231055</t>
  </si>
  <si>
    <t>0895385418300</t>
  </si>
  <si>
    <t>Hanya menjadi peserta saja</t>
  </si>
  <si>
    <t>Waktu proses lama, Minimnya Digitalisasi Pengajuan masih banyak yang harus manual, Jadwal pendampingan berubah secara tiba-tiba</t>
  </si>
  <si>
    <t>Belum ada</t>
  </si>
  <si>
    <t>muhammad.rachman.090305@gmail.com</t>
  </si>
  <si>
    <t xml:space="preserve">Muhammad Aulia Rachman </t>
  </si>
  <si>
    <t>E4401231095</t>
  </si>
  <si>
    <t>0895325718267</t>
  </si>
  <si>
    <t xml:space="preserve">Tidak tau informasinya dan tidak ada yang membimbing </t>
  </si>
  <si>
    <t>Website IPB Prestasi, Media cetak (poster) yang ditempel di setiap fakultas</t>
  </si>
  <si>
    <t>rahadiandaulat@gmail.com</t>
  </si>
  <si>
    <t>Farrel Rahadian Daulat</t>
  </si>
  <si>
    <t>F4401221067</t>
  </si>
  <si>
    <t>081384438317</t>
  </si>
  <si>
    <t>Tidak Tertarik dengan Atmosfer Kompetitif</t>
  </si>
  <si>
    <t>Komunikasi &amp; Cara Menyampaikan Ide</t>
  </si>
  <si>
    <t>Langsung Ajukan Solusi atau Alternatif</t>
  </si>
  <si>
    <t>Kualitas layanan petugas</t>
  </si>
  <si>
    <t>fawwaznaufalrr@gmail.com</t>
  </si>
  <si>
    <t>Fawwaz Naufal Rahman</t>
  </si>
  <si>
    <t>F3401241009</t>
  </si>
  <si>
    <t>085647726415</t>
  </si>
  <si>
    <t>Belum berani</t>
  </si>
  <si>
    <t>Postingan instagram @ipbprestasi, Postingan instagram BEM KM/BEM Fakultas/Himpunan, Postingan tiktok</t>
  </si>
  <si>
    <t>Video pencerdasan, TikTok, Sosialisasi secara offline</t>
  </si>
  <si>
    <t>Minimnya Digitalisasi Pengajuan masih banyak yang harus manual, Petugas administrasi, kurang responsif, Pendampingan kurang profesional dan tidak berkesan</t>
  </si>
  <si>
    <t>qoidasyahadah@apps.ipb.ac.id</t>
  </si>
  <si>
    <t xml:space="preserve">Qoida Amanina Syahadah </t>
  </si>
  <si>
    <t>F3401241073</t>
  </si>
  <si>
    <t>081380949116</t>
  </si>
  <si>
    <t>Medali Perak Presentasi-Nasional-PIMNAS 38</t>
  </si>
  <si>
    <t>Rutin memberi arahan dan masukan, Tegas, disiplin, tapi suportif, Sering berbagi pengalaman pribadi</t>
  </si>
  <si>
    <t>Proses pengajuan atau pencairan fasilitas terlalu panjang dan rumit, Akses fasilitas memerlukan banyak persyaratan atau dokumen administratif, Waktu pembinaan kurang panjang</t>
  </si>
  <si>
    <t>simbolonnatalia@apps.ipb.ac.id</t>
  </si>
  <si>
    <t xml:space="preserve">Devi Natalia Simbolon </t>
  </si>
  <si>
    <t>C1401251014</t>
  </si>
  <si>
    <t>087771573032</t>
  </si>
  <si>
    <t xml:space="preserve">- International Science Qualification Bidang biologi 
- Kurcerdig (Kaum Muda Cerdas Digital) pembuatan Web dan aplikasi dalam mengatasi malware </t>
  </si>
  <si>
    <t>Postingan instagram @ipbprestasi, Postingan instagram UKM, Media cetak (poster) yang ditempel di setiap fakultas</t>
  </si>
  <si>
    <t>Instastory, Feed instagram, Poster</t>
  </si>
  <si>
    <t xml:space="preserve">Tidak </t>
  </si>
  <si>
    <t>luqmanazx257@gmail.com</t>
  </si>
  <si>
    <t xml:space="preserve">Luqman Assyauqi </t>
  </si>
  <si>
    <t>E1401231086</t>
  </si>
  <si>
    <t>081383540373</t>
  </si>
  <si>
    <t>harus</t>
  </si>
  <si>
    <t>Sangat terbiasa dengan cara cara lama dan sulit menerima sistem, aturan atau budaya yang berbeda</t>
  </si>
  <si>
    <t>rimbawan desa 2025
awardee platinum discount Indonesian action youth</t>
  </si>
  <si>
    <t>Kuliah Tingkat 3 (Semester 5 dan 6)</t>
  </si>
  <si>
    <t>Postingan instagram BEM KM/BEM Fakultas/Himpunan, Postingan instagram UKM, Postingan tiktok</t>
  </si>
  <si>
    <t xml:space="preserve">lebih derma wan </t>
  </si>
  <si>
    <t>qonita16qonitatun@apps.ipb.ac.id</t>
  </si>
  <si>
    <t xml:space="preserve">Qonitatun Ma'rifah </t>
  </si>
  <si>
    <t>D2401221009</t>
  </si>
  <si>
    <t>088215446750</t>
  </si>
  <si>
    <t>Juara 3-LKTI-Unsoed
Finalis-Nasional-PIMNAS 2024</t>
  </si>
  <si>
    <t>_</t>
  </si>
  <si>
    <t>muhammadnurfadhilah@apps.ipb.ac.id</t>
  </si>
  <si>
    <t>Muhammad Nurfadhilah</t>
  </si>
  <si>
    <t>D2401221003</t>
  </si>
  <si>
    <t>082138160406</t>
  </si>
  <si>
    <t>PIMNAS Presentasi favorit</t>
  </si>
  <si>
    <t>Mantap</t>
  </si>
  <si>
    <t>razanfauzi7@gmail.com</t>
  </si>
  <si>
    <t>Mohammad Razan Fauzi</t>
  </si>
  <si>
    <t>F3401231060</t>
  </si>
  <si>
    <t>089517758500</t>
  </si>
  <si>
    <t>Juara 1-BPC CIA IMASIKA IPB 2025, Juara 2-BCC NAC FOA 2025, Juara2-BCC Faculty war IPB 2026, Juara 3-BMC Sekolah Forces Competition 2024</t>
  </si>
  <si>
    <t>Proses pengajuan atau pencairan fasilitas terlalu panjang dan rumit, Waktu proses lama, Jadwal pendampingan berubah secara tiba-tiba</t>
  </si>
  <si>
    <t>Terus menemani orang orang yang percaya akan tumbuh</t>
  </si>
  <si>
    <t>pradipthaaryasena@apps.ipb.ac.id</t>
  </si>
  <si>
    <t>Pradiptha Aryasena</t>
  </si>
  <si>
    <t>L1401241033</t>
  </si>
  <si>
    <t>089523658472</t>
  </si>
  <si>
    <t>Juara 2 presentasi - Nasional - PimNas 2025</t>
  </si>
  <si>
    <t>i</t>
  </si>
  <si>
    <t>h</t>
  </si>
  <si>
    <t>semoga bisa lebihbhaik</t>
  </si>
  <si>
    <t>alyaratu312@gmail.com</t>
  </si>
  <si>
    <t>alya</t>
  </si>
  <si>
    <t>F1401231901</t>
  </si>
  <si>
    <t>08889346025</t>
  </si>
  <si>
    <t>Pembekalan teknis dan non-teknis sebelum turun ke lapangan</t>
  </si>
  <si>
    <t>Postingan instagram BEM KM/BEM Fakultas/Himpunan, Postingan instagram UKM</t>
  </si>
  <si>
    <t>semangat twrus</t>
  </si>
  <si>
    <t>bilasalsabila@apps.ipb.ac.id</t>
  </si>
  <si>
    <t>salsabila nur haliza</t>
  </si>
  <si>
    <t>D1401241090</t>
  </si>
  <si>
    <t>088804706665</t>
  </si>
  <si>
    <t>Website BEM KM/BEM Fakultas/Himpunan, Website Fakultas/Program Studi</t>
  </si>
  <si>
    <t>Semoga lebih baik</t>
  </si>
  <si>
    <t>arvazaiman@gmail.com</t>
  </si>
  <si>
    <t>arva</t>
  </si>
  <si>
    <t>F3401241123</t>
  </si>
  <si>
    <t>081930040661</t>
  </si>
  <si>
    <t>Fasilitas</t>
  </si>
  <si>
    <t>habibrizki@apps.ipb.ac.id</t>
  </si>
  <si>
    <t>habib rizki fadilah</t>
  </si>
  <si>
    <t>d2401241127</t>
  </si>
  <si>
    <t>085694726344</t>
  </si>
  <si>
    <t>Beban akademik sudah cukup berat</t>
  </si>
  <si>
    <t>Terlibat aktif dalam program desa binaan</t>
  </si>
  <si>
    <t>ya</t>
  </si>
  <si>
    <t>Website Fakultas/Program Studi, Postingan instagram UKM, Teman</t>
  </si>
  <si>
    <t>Poster, TikTok, Channel di WA atau IG</t>
  </si>
  <si>
    <t>reffavarisca@gmail.com</t>
  </si>
  <si>
    <t xml:space="preserve">Reffa Varisca </t>
  </si>
  <si>
    <t>D2401241007</t>
  </si>
  <si>
    <t>08787805619</t>
  </si>
  <si>
    <t>belum dapet tim</t>
  </si>
  <si>
    <t>Poster, Video pencerdasan, TikTok</t>
  </si>
  <si>
    <t>mengajak mahasisaqa</t>
  </si>
  <si>
    <t>saniahanur22@gmail.com</t>
  </si>
  <si>
    <t>Sania Hanur</t>
  </si>
  <si>
    <t>D2401241029</t>
  </si>
  <si>
    <t>087736848436</t>
  </si>
  <si>
    <t>belum punya teman</t>
  </si>
  <si>
    <t xml:space="preserve">Waktu proses lama, Petugas administrasi, kurang responsif, </t>
  </si>
  <si>
    <t>ikirifki009yu@gmail.com</t>
  </si>
  <si>
    <t>Ahmad Rifki Munawari</t>
  </si>
  <si>
    <t>H3401231071</t>
  </si>
  <si>
    <t>087831256212</t>
  </si>
  <si>
    <t>Medali silver festival inovasi kewirausahaan siswa indonesia by kemendikbud 2022</t>
  </si>
  <si>
    <t>Presentase penerimaan dana sesuai yg diajukan atau 90%</t>
  </si>
  <si>
    <t>zena09zakiyya@apps.ipb.ac.id</t>
  </si>
  <si>
    <t>Ruzaina Zakiyya</t>
  </si>
  <si>
    <t>G8401241066</t>
  </si>
  <si>
    <t>082317916791</t>
  </si>
  <si>
    <t>Juara 2 Esai Ilmiah Populer FK Universitas Udayana 2025, Siswa Berprestasi 2024, Juara 3 Lomba Cerdas Tangkas Biologi 2023 Universitas Pasundan</t>
  </si>
  <si>
    <t>Sejauh ini sudah bagus</t>
  </si>
  <si>
    <t>narayanaasyta@gmail.com</t>
  </si>
  <si>
    <t>Asyta Narayana</t>
  </si>
  <si>
    <t>F3401231046</t>
  </si>
  <si>
    <t>082170876306</t>
  </si>
  <si>
    <t>Video tren, Poster, TikTok</t>
  </si>
  <si>
    <t>balqistaarwamaryam@gmail.com</t>
  </si>
  <si>
    <t>Maryam Arwa Balqista</t>
  </si>
  <si>
    <t>F050525210107</t>
  </si>
  <si>
    <t>081240564190</t>
  </si>
  <si>
    <t>Jalan Jalan atau Hangout</t>
  </si>
  <si>
    <t>Kemampuan Belajar Mandiri &amp; Melek Teknologi</t>
  </si>
  <si>
    <t>Jadi Penengah yang Meredakan Ketegangan dan Cari Kesepakatan</t>
  </si>
  <si>
    <t>Instastory, TikTok, Channel di WA atau IG</t>
  </si>
  <si>
    <t>Proses pengajuan atau pencairan fasilitas terlalu panjang dan rumit, Jadwal pendampingan berubah secara tiba-tiba, Waktu pembinaan kurang panjang</t>
  </si>
  <si>
    <t>naylamaharani0132@gmail.com</t>
  </si>
  <si>
    <t>Nayla Maharani Ibrahim</t>
  </si>
  <si>
    <t>I3401231026</t>
  </si>
  <si>
    <t>081333111338</t>
  </si>
  <si>
    <t>Finalis-BPC-Setia</t>
  </si>
  <si>
    <t>chessanadyaa@gmail.com</t>
  </si>
  <si>
    <t>Chessa Nadya Okdita</t>
  </si>
  <si>
    <t>G4401231142</t>
  </si>
  <si>
    <t>081281650408</t>
  </si>
  <si>
    <t>belum ada kesempatan</t>
  </si>
  <si>
    <t>Bergabung dalam tim robotika resmi kampus</t>
  </si>
  <si>
    <t>Komunitas robotika yang terbuka bagi pemula</t>
  </si>
  <si>
    <t>Instastory, Melalui jaringan komunikasi di grup angkatan, Channel di WA atau IG</t>
  </si>
  <si>
    <t>k.nadiea@gmail.com</t>
  </si>
  <si>
    <t>Nadiea Khairunnisa K.</t>
  </si>
  <si>
    <t>G4401231099</t>
  </si>
  <si>
    <t>081808852552</t>
  </si>
  <si>
    <t>Belum terlalu mengetahui jadi belum bisa mengkritisi</t>
  </si>
  <si>
    <t>Belum ada katena belum mengetahui</t>
  </si>
  <si>
    <t>sigitramadhan910@gmail.com</t>
  </si>
  <si>
    <t>Sigit Ramadhan</t>
  </si>
  <si>
    <t>F4401231065</t>
  </si>
  <si>
    <t>087872614585</t>
  </si>
  <si>
    <t>Belum punya tim</t>
  </si>
  <si>
    <t>Akses fasilitas memerlukan banyak persyaratan atau dokumen administratif, Minimnya Digitalisasi Pengajuan masih banyak yang harus manual, Petugas administrasi, kurang responsif</t>
  </si>
  <si>
    <t>Kolaborasi dengan Himpunan</t>
  </si>
  <si>
    <t>andryzakariamarpaung@apps.ipb.ac.id</t>
  </si>
  <si>
    <t>Andry Zakaria Marpaung</t>
  </si>
  <si>
    <t>F4401231025</t>
  </si>
  <si>
    <t>081319419546</t>
  </si>
  <si>
    <t>PPKO - 13 besar IPB</t>
  </si>
  <si>
    <t>Belum mengetahui yang tepat</t>
  </si>
  <si>
    <t>Fasilitasi Administratif Kompetitif Mandiri Nasional &amp; International, Fasilitasi Pembinaan Kompetitif Mandiri Nasional &amp; International, Fasilitasi Insentif Prestasi Kompetitif Mandiri</t>
  </si>
  <si>
    <t>Postingan instagram UKM, Postingan tiktok, Informasi yang disebarkan melalui WhatsApp di grup angkatan</t>
  </si>
  <si>
    <t>Minimnya Digitalisasi Pengajuan masih banyak yang harus manual, Jadwal Operasional Terbatas, Jadwal pendampingan berubah secara tiba-tiba</t>
  </si>
  <si>
    <t>Fasilitas pendukung untuk support mahasiswa nya</t>
  </si>
  <si>
    <t>farishnaufalyuliantoro@apps.ipb.ac.id</t>
  </si>
  <si>
    <t>Farish Naufal Y</t>
  </si>
  <si>
    <t>F3401241061</t>
  </si>
  <si>
    <t>081277627401</t>
  </si>
  <si>
    <t>daeshaamira@apps.ipb.ac.id</t>
  </si>
  <si>
    <t>Naila Amira Zulfa</t>
  </si>
  <si>
    <t>I1401241092</t>
  </si>
  <si>
    <t>085607028705</t>
  </si>
  <si>
    <t>Kurang Informasi Mekanisme Pengurusan, Petugas administrasi, kurang responsif, Jadwal Operasional Terbatas</t>
  </si>
  <si>
    <t>difa_akhalifatunadifah@apps.ipb.ac.id</t>
  </si>
  <si>
    <t xml:space="preserve">Khalifatunadifah </t>
  </si>
  <si>
    <t xml:space="preserve">A340123014 </t>
  </si>
  <si>
    <t>081286182047</t>
  </si>
  <si>
    <t>Video tren, Sosialisasi secara offline, Channel di WA atau IG</t>
  </si>
  <si>
    <t>Kurang Informasi Mekanisme Pengurusan, Jadwal Operasional Terbatas, Jadwal pendampingan berubah secara tiba-tiba</t>
  </si>
  <si>
    <t>muhammadfarel@apps.ipb.ac.id</t>
  </si>
  <si>
    <t>Muhammad Farel Alfattah</t>
  </si>
  <si>
    <t>F1401231060</t>
  </si>
  <si>
    <t>082384981513</t>
  </si>
  <si>
    <t>Belum tau informasi nya</t>
  </si>
  <si>
    <t>Mungkin informasi yang lebih masif</t>
  </si>
  <si>
    <t>jihank08jihan@apps.ipb.ac.id</t>
  </si>
  <si>
    <t>Jihan kamila</t>
  </si>
  <si>
    <t>J0412231085</t>
  </si>
  <si>
    <t>089516814097</t>
  </si>
  <si>
    <t>Juara 3 -LKTI Agridation</t>
  </si>
  <si>
    <t>murtadhohasyim5@gmail.com</t>
  </si>
  <si>
    <t xml:space="preserve">Hasyem Murtadha </t>
  </si>
  <si>
    <t>F3401231099</t>
  </si>
  <si>
    <t>08653384918</t>
  </si>
  <si>
    <t>Gaounya uang</t>
  </si>
  <si>
    <t>Menang lomba debat di tingkat regional/nasional</t>
  </si>
  <si>
    <t>Lebih merata aja lombanya</t>
  </si>
  <si>
    <t>putriaptrii@gmail.com</t>
  </si>
  <si>
    <t xml:space="preserve">Putri Amalia </t>
  </si>
  <si>
    <t>I3401231022</t>
  </si>
  <si>
    <t>089616171618</t>
  </si>
  <si>
    <t>Website BEM KM/BEM Fakultas/Himpunan</t>
  </si>
  <si>
    <t>Video tren, Instastory, TikTok</t>
  </si>
  <si>
    <t>Proses pengajuan atau pencairan fasilitas terlalu panjang dan rumit, Pendampingan kurang profesional dan tidak berkesan, Jadwal pendampingan berubah secara tiba-tiba</t>
  </si>
  <si>
    <t>sonyafatikat@gmail.com</t>
  </si>
  <si>
    <t xml:space="preserve">Sonya </t>
  </si>
  <si>
    <t>I3401231042</t>
  </si>
  <si>
    <t>082289321365</t>
  </si>
  <si>
    <t>Essai Connection IPB 2025</t>
  </si>
  <si>
    <t>Kemampuan komunikasi langsung dengan masyarakat</t>
  </si>
  <si>
    <t>Video pencerdasan, Melalui jaringan komunikasi di grup angkatan, Website</t>
  </si>
  <si>
    <t>Waktu proses lama, Minimnya Digitalisasi Pengajuan masih banyak yang harus manual, Jadwal Operasional Terbatas</t>
  </si>
  <si>
    <t>Menarik banget informasinya sebelumnya ga ada kekurangan dari saya</t>
  </si>
  <si>
    <t>nahlafifiazizahnahla@apps.ipb.ac.id</t>
  </si>
  <si>
    <t>Nahla Fifi Azizah</t>
  </si>
  <si>
    <t>B0401221074</t>
  </si>
  <si>
    <t>081440047537</t>
  </si>
  <si>
    <t>Komunikasi &amp; Cara Menyampaikan Ide, Manajemen Waktu &amp; Atur Prioritas, Critical Thinking &amp; Penyelesaian Masalah, Kerja Sama &amp; Adaptasi dalam Tim, Kemampuan Belajar Mandiri &amp; Melek Teknologi</t>
  </si>
  <si>
    <t>Ajak Diskusi Bareng-bareng untuk Cari Akar Masalah</t>
  </si>
  <si>
    <t>varelfa1234@gmail.com</t>
  </si>
  <si>
    <t>Varel Fadhil Akbar</t>
  </si>
  <si>
    <t>M0401251101</t>
  </si>
  <si>
    <t>085846610499</t>
  </si>
  <si>
    <t>Juara 1 Karya Tulis Ilmiah Kab. Cianjur 2024</t>
  </si>
  <si>
    <t>Waktu proses lama, Kurang Informasi Mekanisme Pengurusan, Waktu pembinaan kurang panjang</t>
  </si>
  <si>
    <t>Sudah cukup</t>
  </si>
  <si>
    <t>humaihumaira@apps.ipb.ac.id</t>
  </si>
  <si>
    <t>Humaira Radhwa</t>
  </si>
  <si>
    <t>M0405251019</t>
  </si>
  <si>
    <t>089676270545</t>
  </si>
  <si>
    <t xml:space="preserve">juara 1 esay competition </t>
  </si>
  <si>
    <t>Website IPB Prestasi, Postingan tiktok, Informasi yang disebarkan melalui WhatsApp di grup angkatan</t>
  </si>
  <si>
    <t>Video tren, Instastory, Poster</t>
  </si>
  <si>
    <t>Proses pengajuan atau pencairan fasilitas terlalu panjang dan rumit, Akses fasilitas memerlukan banyak persyaratan atau dokumen administratif, Jadwal Operasional Terbatas</t>
  </si>
  <si>
    <t>Kualitas layanan petugas, Respons terhadap pertanyaan/ keluhan</t>
  </si>
  <si>
    <t>nisrinaajmn@gmail.com</t>
  </si>
  <si>
    <t>Nisrina Nailah Rayendra</t>
  </si>
  <si>
    <t>M0403251032</t>
  </si>
  <si>
    <t>089629654219</t>
  </si>
  <si>
    <t>Feed instagram, TikTok, Channel di WA atau IG</t>
  </si>
  <si>
    <t>senjacrnls@gmail.com</t>
  </si>
  <si>
    <t>Senja Lestari Corneles</t>
  </si>
  <si>
    <t>A3401251094</t>
  </si>
  <si>
    <t>082189547278</t>
  </si>
  <si>
    <t>kurangnya informasi</t>
  </si>
  <si>
    <t>Website IPB Prestasi, Postingan instagram @ipbprestasi, Media cetak (poster) yang ditempel di setiap fakultas</t>
  </si>
  <si>
    <t>dea.sundargo@gmail.com</t>
  </si>
  <si>
    <t>Dea Sundargo</t>
  </si>
  <si>
    <t>F2401231072</t>
  </si>
  <si>
    <t>088214534749</t>
  </si>
  <si>
    <t>Juara 3-Nasional-PRISMA UB 2024</t>
  </si>
  <si>
    <t>ferdina443@gmail.com</t>
  </si>
  <si>
    <t>Zharesyka Ferdy Saputra</t>
  </si>
  <si>
    <t>F2401231053</t>
  </si>
  <si>
    <t>Karena masih banyak pertimbangan dan termasuk manajemen waktu</t>
  </si>
  <si>
    <t>Lebih banyak informasi lomba yang bisa diikuti dan fasilitasi pendanaan</t>
  </si>
  <si>
    <t>faizahardynti30@gmail.com</t>
  </si>
  <si>
    <t>Siti Faizah Ardiyanti</t>
  </si>
  <si>
    <t>M0402251078</t>
  </si>
  <si>
    <t>081294563863</t>
  </si>
  <si>
    <t>OSN MATEMATIKA TAHUN 2023 dan 2024</t>
  </si>
  <si>
    <t>Video tren, Video pencerdasan, Melalui jaringan komunikasi di grup angkatan</t>
  </si>
  <si>
    <t>rayyaistiazakka@apps.ipb.ac.id</t>
  </si>
  <si>
    <t xml:space="preserve">Najla Rayya Falisha Istiazakka </t>
  </si>
  <si>
    <t>M0401251001</t>
  </si>
  <si>
    <t>085600315655</t>
  </si>
  <si>
    <t xml:space="preserve">sejak SMP </t>
  </si>
  <si>
    <t>Juara 3 esai nasional fordika unila 2023
juara 2 ksm regu tingkat kota bandar lampung thn 2024
juara 4 ksm fisika terintegrasi tingkat kota bandar Lampung thn 2022 &amp; 2023</t>
  </si>
  <si>
    <t>ervinahendrawati13@gmail.com</t>
  </si>
  <si>
    <t>Ervina Tri Hendrawati</t>
  </si>
  <si>
    <t>M0402251047</t>
  </si>
  <si>
    <t>081298213688</t>
  </si>
  <si>
    <t>Hanya sampai semifinalist</t>
  </si>
  <si>
    <t>Minimnya Digitalisasi Pengajuan masih banyak yang harus manual, Jadwal Operasional Terbatas, Waktu pembinaan kurang panjang</t>
  </si>
  <si>
    <t>Sesuaikan jenis mentor dengan level pengetahuan mahasiswanya</t>
  </si>
  <si>
    <t>firafahira@apps.ipb.ac.id</t>
  </si>
  <si>
    <t>Amalia Fahira</t>
  </si>
  <si>
    <t>F2401231901</t>
  </si>
  <si>
    <t>085218622616</t>
  </si>
  <si>
    <t xml:space="preserve">Juara 1 AEC Agricultural Expert Competition Infografis 
</t>
  </si>
  <si>
    <t>Menggunakan ig untuk menampiljan link compile mekanisme pengajuan administratif, fasilitasi finansial, dll. Dalam 1 guidebook. Serta komunikasi ke tiap prodi.</t>
  </si>
  <si>
    <t>hildafebriyana@apps.ipb.ac.id</t>
  </si>
  <si>
    <t>Hilda Febriyana</t>
  </si>
  <si>
    <t>F1401231015</t>
  </si>
  <si>
    <t>085713337697</t>
  </si>
  <si>
    <t>kpp youth mining</t>
  </si>
  <si>
    <t>ksn bidang astronomi</t>
  </si>
  <si>
    <t>Website IPB Prestasi, Postingan instagram @ipbprestasi, Teman</t>
  </si>
  <si>
    <t>Feed instagram, Sosialisasi secara offline, Website</t>
  </si>
  <si>
    <t>afriwidiapandiangan@apps.ipb.ac.id</t>
  </si>
  <si>
    <t>Afriwidia Pandiangan</t>
  </si>
  <si>
    <t>F1401231018</t>
  </si>
  <si>
    <t>087899546961</t>
  </si>
  <si>
    <t>PPKO</t>
  </si>
  <si>
    <t>Sosialisasi</t>
  </si>
  <si>
    <t>tiosiahaan14@gmail.com</t>
  </si>
  <si>
    <t>Tio Dorasi Veronika Siahaan</t>
  </si>
  <si>
    <t>F1401231084</t>
  </si>
  <si>
    <t>082161170984</t>
  </si>
  <si>
    <t>PKM</t>
  </si>
  <si>
    <t>Kurang Informasi Mekanisme Pengurusan, Minimnya Digitalisasi Pengajuan masih banyak yang harus manual, Jadwal Operasional Terbatas</t>
  </si>
  <si>
    <t>reginafingkanfingkan@gmail.com</t>
  </si>
  <si>
    <t>Fingkan</t>
  </si>
  <si>
    <t>F1401241048</t>
  </si>
  <si>
    <t>083853459810</t>
  </si>
  <si>
    <t>Bingung mulai darimana</t>
  </si>
  <si>
    <t>Bingung, rasa malas</t>
  </si>
  <si>
    <t>belum pernah juara</t>
  </si>
  <si>
    <t>Proses pengajuan atau pencairan fasilitas terlalu panjang dan rumit, Kurang Informasi Mekanisme Pengurusan, Waktu pembinaan kurang panjang</t>
  </si>
  <si>
    <t>afinanadhira@apps.ipb.ac.id</t>
  </si>
  <si>
    <t xml:space="preserve">Afina Nadhira Yuvani Putri </t>
  </si>
  <si>
    <t>A1401241067</t>
  </si>
  <si>
    <t>087779176161</t>
  </si>
  <si>
    <t>Belum ada kesempatan dan bimbingan</t>
  </si>
  <si>
    <t>Video tren, Poster, Melalui jaringan komunikasi di grup angkatan</t>
  </si>
  <si>
    <t xml:space="preserve">Cepet di acc kalo tahap verifikasi </t>
  </si>
  <si>
    <t>hariputra@apps.ipb.ac.id</t>
  </si>
  <si>
    <t xml:space="preserve">Hari Putra Lubis </t>
  </si>
  <si>
    <t>A0401241003</t>
  </si>
  <si>
    <t>085714190802</t>
  </si>
  <si>
    <t>karena pada saat SMA belum ada yg mewadahi kegiatan robotik, jadi saya cuman belajar otodidak dan bikin projek simpel di rumah. tetapi, saat kuliah saya melihat peluang untuk ikut dan terlibat dalam kompetisi robotik dan AI</t>
  </si>
  <si>
    <t>1ikaninasseptiana@apps.ipb.ac.id</t>
  </si>
  <si>
    <t>Ika Nina Septiana</t>
  </si>
  <si>
    <t>A2401251018</t>
  </si>
  <si>
    <t>08975005009</t>
  </si>
  <si>
    <t>Belum menemukan perlombaan di bidang terkait selama SMA</t>
  </si>
  <si>
    <t>Juara 1 Olimpiade Fisika SMA tingkat Provinsi
Juara 1 KSN-K IPA SMP
Juara 2 Lomba cari data tingkat Provinsi</t>
  </si>
  <si>
    <t>Buka rekruitmen lebih sering untuk kompres</t>
  </si>
  <si>
    <t>paridddddbahra@apps.ipb.ac.id</t>
  </si>
  <si>
    <t>Faridz Faqih Al Bahra</t>
  </si>
  <si>
    <t>C3401231108</t>
  </si>
  <si>
    <t>085383784165</t>
  </si>
  <si>
    <t>Juara 1-Nasional-BMC Aprotech Fair-2025
Semifinal-Nasional-BMC Environation ITS-2025</t>
  </si>
  <si>
    <t>Website IPB Prestasi, Postingan instagram BEM KM/BEM Fakultas/Himpunan</t>
  </si>
  <si>
    <t>ayuninurfaliza@apps.ipb.ac.id</t>
  </si>
  <si>
    <t xml:space="preserve">Ayuni Nurfaliza Pratiwi </t>
  </si>
  <si>
    <t>J0414241208</t>
  </si>
  <si>
    <t>081240113332</t>
  </si>
  <si>
    <t>belum pernah mencoba</t>
  </si>
  <si>
    <t>Supportif Club belajar untuk lomba</t>
  </si>
  <si>
    <t>greselsianesi@apps.ipb.ac.id</t>
  </si>
  <si>
    <t xml:space="preserve">Greselsia Nesi Riwana </t>
  </si>
  <si>
    <t>H4401241126</t>
  </si>
  <si>
    <t>085975427722</t>
  </si>
  <si>
    <t xml:space="preserve">Semi final - IDEAS UGM 2025 (Bisnis Plan Competition)
Semi final - BYE Manajemen Euphoria </t>
  </si>
  <si>
    <t>Mentoring rutin mengenai bisnis competition</t>
  </si>
  <si>
    <t>laylazackyah@apps.ipb.ac.id</t>
  </si>
  <si>
    <t xml:space="preserve">Layla Zackyah Nur Ramadhani </t>
  </si>
  <si>
    <t xml:space="preserve">E2401251002 </t>
  </si>
  <si>
    <t>083829742702</t>
  </si>
  <si>
    <t>Memerlukan bimbingan supaya lebih terarah</t>
  </si>
  <si>
    <t>Menurut saya, Fasilitasi Kompetitif IPB Prestasi sebaiknya menyediakan program pembinaan khusus untuk mahasiswa yang benar-benar pemula, seperti kelas dasar dan pendampingan bertahap dari level awal. Dengan begitu, mahasiswa yang masih minim pengalaman tetap merasa percaya diri dan memiliki kesempatan untuk berkembang di bidang yang diminati.</t>
  </si>
  <si>
    <t>nabilahkhairunnisa@apps.ipb.ac.id</t>
  </si>
  <si>
    <t xml:space="preserve">Nabilah Khairunnisa </t>
  </si>
  <si>
    <t>I1401251033</t>
  </si>
  <si>
    <t>089530264927</t>
  </si>
  <si>
    <t xml:space="preserve">belum pernah lomba </t>
  </si>
  <si>
    <t>Postingan instagram @ipbprestasi, Postingan instagram BEM KM/BEM Fakultas/Himpunan, Postingan instagram UKM</t>
  </si>
  <si>
    <t xml:space="preserve">Sosialisasi program ke mahasiswa, </t>
  </si>
  <si>
    <t>Tingkatkan sosialisasi</t>
  </si>
  <si>
    <t>johanneshutajulu@apps.ipb.ac.id</t>
  </si>
  <si>
    <t>Johannes Goklas Tua Hutajulu</t>
  </si>
  <si>
    <t>F0406251058</t>
  </si>
  <si>
    <t>081289769956</t>
  </si>
  <si>
    <t>Karena merasa tidak pantas mengikuti lomba dengan ilmu pengetahuan aku kepada kimia, biologi, dan fisika yang biasa biasa saja.</t>
  </si>
  <si>
    <t>Dosen</t>
  </si>
  <si>
    <t>Tidak ada.</t>
  </si>
  <si>
    <t>athifahzahra@apps.ipb.ac.id</t>
  </si>
  <si>
    <t>Athifah Zahra Hardiono</t>
  </si>
  <si>
    <t>I1401251043</t>
  </si>
  <si>
    <t>081339587291</t>
  </si>
  <si>
    <t>Belum menemukan informasi jelas dan pendampingan</t>
  </si>
  <si>
    <t>Medali Emas Bidang Biologi-Nasional-OSTN 2022, Semifinalis Bidang Biologi-Nasional-KOSSMI 2024</t>
  </si>
  <si>
    <t>Video tren, TikTok, Sosialisasi secara offline</t>
  </si>
  <si>
    <t>fasyanovelia@apps.ipb.ac.id</t>
  </si>
  <si>
    <t>Fasya Novelia</t>
  </si>
  <si>
    <t>A2401231058</t>
  </si>
  <si>
    <t>085161537233</t>
  </si>
  <si>
    <t>- Juara 2 dan Judul Terbaik Bisnis Plan Atma Jaya Yogyakarta
- Juara 1 BMC Gelora 
- Bronze Award dan Best Paper Bisnis Plan PIMPI</t>
  </si>
  <si>
    <t>melampauisandi@apps.ipb.ac.id</t>
  </si>
  <si>
    <t xml:space="preserve">Sandi Sasmita Jati </t>
  </si>
  <si>
    <t xml:space="preserve">A0401251032 </t>
  </si>
  <si>
    <t>085855652092</t>
  </si>
  <si>
    <t>belum percaya pada kemampuan sendiri. merasa masih belum berpengalaman. tidak punya mentor.</t>
  </si>
  <si>
    <t>Kurang Informasi Mekanisme Pengurusan, Pendampingan kurang profesional dan tidak berkesan, Waktu pembinaan kurang panjang</t>
  </si>
  <si>
    <t>clairinetoisutta@apps.ipb.ac.id</t>
  </si>
  <si>
    <t>Clairine Toisutta</t>
  </si>
  <si>
    <t>J0410241132</t>
  </si>
  <si>
    <t>088271015244</t>
  </si>
  <si>
    <t>Delegasi OSN Ekonomi Tingkat Kota saat SMA, Juara 1 NBMC Mabista Untag Surabaya, Juara 2 BMC SIC IPB</t>
  </si>
  <si>
    <t>Kurang Informasi Mekanisme Pengurusan, Jadwal pendampingan berubah secara tiba-tiba, Waktu pembinaan kurang panjang</t>
  </si>
  <si>
    <t>anugrahdwiputra@apps.ipb.ac.id</t>
  </si>
  <si>
    <t>Anugrah Dwiputra</t>
  </si>
  <si>
    <t>J0414241138</t>
  </si>
  <si>
    <t>0895336832350</t>
  </si>
  <si>
    <t>Finalist-IPB Business Festival-2025
Semifinalist-Agrucultural Day Competition-2025
Semifinalist-Jakarta Business Case Competition-2025</t>
  </si>
  <si>
    <t>sharfinaamalia@apps.ipb.ac.id</t>
  </si>
  <si>
    <t>Sharfina Dwi Amalia</t>
  </si>
  <si>
    <t>M0402241027</t>
  </si>
  <si>
    <t>081280887551</t>
  </si>
  <si>
    <t>radenhisyamraden@apps.ipb.ac.id</t>
  </si>
  <si>
    <t>Raden Hisyam Muhammad Miftaah Al-Faruq</t>
  </si>
  <si>
    <t>J0417231095</t>
  </si>
  <si>
    <t>082110025364</t>
  </si>
  <si>
    <t>Sejauh ini saya seringnya tergabung ke wadah organiasi. semisal yang fokus ke prestasi itu pun ke essay</t>
  </si>
  <si>
    <t>hanya tertarik, tapi belum mendalami</t>
  </si>
  <si>
    <t>so far so good</t>
  </si>
  <si>
    <t>muhamadzidanfahrezi@apps.ipb.ac.id</t>
  </si>
  <si>
    <t>Muhamad Zidan Fahrezi</t>
  </si>
  <si>
    <t>H2401251125</t>
  </si>
  <si>
    <t>085888197540</t>
  </si>
  <si>
    <t xml:space="preserve">1st Place, Business Plan Competition AIS organized by HIMADISA Telkom University, 2025 
2nd Place, Business Plan Competition MPI FAIR organized by Management Education Islam Students UIN Sunan Gunung Djati Bandung, 2025 
Finalist, Business Case Competition IPB Business Festival, organized by Century IPB, 2025 </t>
  </si>
  <si>
    <t>Arahan yang lebih jelas</t>
  </si>
  <si>
    <t>ipebehmaria@apps.ipb.ac.id</t>
  </si>
  <si>
    <t>Maria Amanda Devina</t>
  </si>
  <si>
    <t>M0403251041</t>
  </si>
  <si>
    <t>082261550524</t>
  </si>
  <si>
    <t>Juara 3-Nasional-Olimpiade Sains Indonesia (Matematika) HIMAFI UGM-2025</t>
  </si>
  <si>
    <t xml:space="preserve">Juara Harapan 2 - 11th UTU Awards Kategori Perencanaan Bisnis - 2025 </t>
  </si>
  <si>
    <t>Mengembangkan usaha yang sudah berjalan</t>
  </si>
  <si>
    <t>mufidaaalmardiyah@apps.ipb.ac.id</t>
  </si>
  <si>
    <t xml:space="preserve">Mufida Mutmainah Almardiyah </t>
  </si>
  <si>
    <t>I3401241102</t>
  </si>
  <si>
    <t>085161672301</t>
  </si>
  <si>
    <t>Peserta - PKM PM</t>
  </si>
  <si>
    <t>2006christina@apps.ipb.ac.id</t>
  </si>
  <si>
    <t>Christina Larasati Kusuma Wardani</t>
  </si>
  <si>
    <t>G3401241083</t>
  </si>
  <si>
    <t>082246666930</t>
  </si>
  <si>
    <t>Silver Medal Olimpiade Biologi Tingkat Nasional FKIP UHAMKA
Finalist LKTI OKTAN ITB
Juara 1 LKTI Faculty War IPB</t>
  </si>
  <si>
    <t>marioramadhan@apps.ipb.ac.id</t>
  </si>
  <si>
    <t xml:space="preserve">Mario Ilham Ramadhan </t>
  </si>
  <si>
    <t>G0401241028</t>
  </si>
  <si>
    <t>081386814054</t>
  </si>
  <si>
    <t>Juara 2 KTI Nasional Universitas Megarezky</t>
  </si>
  <si>
    <t>belum ada</t>
  </si>
  <si>
    <t>shesherindiva@apps.ipb.ac.id</t>
  </si>
  <si>
    <t>Sherindiva Hadijah Rahim</t>
  </si>
  <si>
    <t>J0403241025</t>
  </si>
  <si>
    <t>085813481751</t>
  </si>
  <si>
    <t>karena belum punya kesempatan</t>
  </si>
  <si>
    <t xml:space="preserve">belum berkesempatan </t>
  </si>
  <si>
    <t>semoga bisa lebih disosialisasikan tentang tutorial pencairan insentif ke mahasiswa</t>
  </si>
  <si>
    <t>agniaputrizanzabil@apps.ipb.ac.id</t>
  </si>
  <si>
    <t>Agnia Putri Zanzabil</t>
  </si>
  <si>
    <t>I3401241043</t>
  </si>
  <si>
    <t>085800313881</t>
  </si>
  <si>
    <t>PKM-PM, namun hanya sampai tahap kelayakkan ide. Lalu SUIJI-SLP hanya sampai wawancara</t>
  </si>
  <si>
    <t>karena hanya ingin meendapatkan ilmu-nya saja</t>
  </si>
  <si>
    <t>rosyrifa@apps.ipb.ac.id</t>
  </si>
  <si>
    <t>Rifa Rosydiana Ratal</t>
  </si>
  <si>
    <t>C2401231019</t>
  </si>
  <si>
    <t>083891489075</t>
  </si>
  <si>
    <t>tidak ada semangat selalu terimakasih</t>
  </si>
  <si>
    <t>nauvalmahfudz@apps.ipb.ac.id</t>
  </si>
  <si>
    <t>Nauval Mahfudz Muhtadi</t>
  </si>
  <si>
    <t>H1401241007</t>
  </si>
  <si>
    <t>089655126992</t>
  </si>
  <si>
    <t>Finalist Policy Recommendation Competition
Juara 1 Video Kreatif Neon Ercomm Competition</t>
  </si>
  <si>
    <t>yunitamaharani630maharani@apps.ipb.ac.id</t>
  </si>
  <si>
    <t>Yunita Maharani</t>
  </si>
  <si>
    <t>F3401231028</t>
  </si>
  <si>
    <t>081226153174</t>
  </si>
  <si>
    <t>Juara 3-BPC-Faculty War</t>
  </si>
  <si>
    <t>1. 1st Winner &amp; Best Presentation TDC Summit Fest Business Case Competition 2025
2. 1st Winner INSPIRE 6.0 Business Case Competition 2024
3. 5th Place &amp; The Most Feasible Solution Jakarta Business Case Competition</t>
  </si>
  <si>
    <t>Dibuat lebih mudah proses pengajuannya dan petugas administrasi disarankan responsif (maksimal dalam waktu 12 jam harus menjawab pertanyaan dari penanya)</t>
  </si>
  <si>
    <t>azzahdinahdz@gmail.com</t>
  </si>
  <si>
    <t>Azzah Dinah Dzakiroh</t>
  </si>
  <si>
    <t>I2401221038</t>
  </si>
  <si>
    <t>081318777338</t>
  </si>
  <si>
    <t>Grand Winner MiniCase Challenge SHAre IPB x StudentxCEOs Jakarta
Pendanaan PMW
Pendanaan Startuo School</t>
  </si>
  <si>
    <t>77musamuhammad@apps.ipb.ac.id</t>
  </si>
  <si>
    <t>Muhammad Musa</t>
  </si>
  <si>
    <t>F1401231003</t>
  </si>
  <si>
    <t>089629647525</t>
  </si>
  <si>
    <t>Lolos Seleksi IPB-PPKO BEM FMIPA 2025</t>
  </si>
  <si>
    <t xml:space="preserve">Belum berkesempatan </t>
  </si>
  <si>
    <t>sudah baik dan terus berkembang</t>
  </si>
  <si>
    <t>revalinasalmia@apps.ipb.ac.id</t>
  </si>
  <si>
    <t xml:space="preserve">Salmia Revalina </t>
  </si>
  <si>
    <t>D3401221022</t>
  </si>
  <si>
    <t>08817218637</t>
  </si>
  <si>
    <t>Bukan kompetisi, tapi ikutnya program kewirausahaan untuk mahasiswa, yaitu PMW dan WMK</t>
  </si>
  <si>
    <t>Lebih disosialisasikan kepada mahasiswa</t>
  </si>
  <si>
    <t>Juara 3-Nasional-KSM Kimia 2022
Juara 1-Nasional-NS COPAC 2024
Juara 2-Nasional-PIMPI 2024</t>
  </si>
  <si>
    <t>muhakbaridris@apps.ipb.ac.id</t>
  </si>
  <si>
    <t>Muh Akbar Idris</t>
  </si>
  <si>
    <t>M0501241013</t>
  </si>
  <si>
    <t>085812844178</t>
  </si>
  <si>
    <t>Juara 2 OSN Tingkat kabupaten SMP</t>
  </si>
  <si>
    <t>Information yang tersampaikan</t>
  </si>
  <si>
    <t>reginakaylaregina@apps.ipb.ac.id</t>
  </si>
  <si>
    <t>Regina Kayla Aurelia</t>
  </si>
  <si>
    <t>C2401251018</t>
  </si>
  <si>
    <t>085777080338</t>
  </si>
  <si>
    <t xml:space="preserve">Saya pernah mengikuti kompetisi namun belum mendapatkan kesempatan untuk menjadi juara. </t>
  </si>
  <si>
    <t>liantora@apps.ipb.ac.id</t>
  </si>
  <si>
    <t xml:space="preserve">Lian Tora Adi Nugroho </t>
  </si>
  <si>
    <t>M0403241076</t>
  </si>
  <si>
    <t>081211536159</t>
  </si>
  <si>
    <t>Poster, Melalui jaringan komunikasi di grup angkatan, Website</t>
  </si>
  <si>
    <t>alfathaljohari@apps.ipb.ac.id</t>
  </si>
  <si>
    <t>M. Alfath Al Johari</t>
  </si>
  <si>
    <t>H2401241050</t>
  </si>
  <si>
    <t>083111064172</t>
  </si>
  <si>
    <t>1. Semifinalist - BCC DWDG IPB
2. Quarter Final - BPC Monetion UMY
3. On going - BPCathon ITB Fair</t>
  </si>
  <si>
    <t>Website BEM KM/BEM Fakultas/Himpunan, Website Fakultas/Program Studi, Postingan instagram @ipbprestasi</t>
  </si>
  <si>
    <t>aldzahabiarifandi@apps.ipb.ac.id</t>
  </si>
  <si>
    <t>Aldzahabi Munggah Arifandi</t>
  </si>
  <si>
    <t>H1401251082</t>
  </si>
  <si>
    <t>081514138896</t>
  </si>
  <si>
    <t xml:space="preserve">semifinalist-Economic Festival 2025-2025
top 51-Ipb Business Festival-2025
</t>
  </si>
  <si>
    <t>Postingan instagram BEM KM/BEM Fakultas/Himpunan, Postingan instagram UKM, Teman</t>
  </si>
  <si>
    <t>sabilaramutiara@apps.ipb.ac.id</t>
  </si>
  <si>
    <t>Mutiara Salsabila</t>
  </si>
  <si>
    <t>J0412241007</t>
  </si>
  <si>
    <t>0895622136475</t>
  </si>
  <si>
    <t>Masih merasa bingung harus mulai darimana, kurangnya pertemanan sesama minat yang sama (supaya bisa sharing ilmu), dan padatnya jam kuliah membuat saya mengesampingkan perlombaan.</t>
  </si>
  <si>
    <t>Tidak.</t>
  </si>
  <si>
    <t>12diandra@apps.ipb.ac.id</t>
  </si>
  <si>
    <t xml:space="preserve">MUH SYABRIL DIANDRA </t>
  </si>
  <si>
    <t>G5402231038</t>
  </si>
  <si>
    <t>082271594620</t>
  </si>
  <si>
    <t xml:space="preserve">BELUM KETEMU TEMAN DAN TIM COCOK </t>
  </si>
  <si>
    <t>alyack006@gmail.com</t>
  </si>
  <si>
    <t>Alya Cahya Kamilah</t>
  </si>
  <si>
    <t>G0401241010</t>
  </si>
  <si>
    <t>085157820062</t>
  </si>
  <si>
    <t>Juara 1-Nasional-PIMNAS-2025
Juara 1-Universitas-Student Innopreneur Community Business Model Canvas Competition-2025
Bronze Medalist-Nasional-PLASMIDZ | Molecular Biology, Biotechnology, and Bioinformatics Competition-2026</t>
  </si>
  <si>
    <t>ifaaalifa@apps.ipb.ac.id</t>
  </si>
  <si>
    <t>Alifa Taqiyya</t>
  </si>
  <si>
    <t>G0401251019</t>
  </si>
  <si>
    <t>085172273265</t>
  </si>
  <si>
    <t>Juara 1 Biologi OSNK 2024</t>
  </si>
  <si>
    <t>Perbanyak sosialisasi dan ajakan mahasiswa untuk ikut perlombaan.</t>
  </si>
  <si>
    <t>yulisujianti@apps.ipb.ac.id</t>
  </si>
  <si>
    <t xml:space="preserve">Yuli Sujianti </t>
  </si>
  <si>
    <t xml:space="preserve">H1401251061 </t>
  </si>
  <si>
    <t>082265032572</t>
  </si>
  <si>
    <t>Mungkin dulu aku kurang mencuri strat dari awal hanya wujud keinginan yang belum menjadi kenyataan. Awal mula pernah berdagang online waktu SMP dan SMA yang kini membuatku ingin sekali terjun di dunia bisnis dan mencari tahu dari awal mula memulai sampai dengan rintangan yang akan dilalui.</t>
  </si>
  <si>
    <t>Melalui jaringan komunikasi di grup angkatan, Website, Channel di WA atau IG</t>
  </si>
  <si>
    <t xml:space="preserve">Saran Semoga bisa lebih tersebar luaskan </t>
  </si>
  <si>
    <t>ipbrobotic@apps.ipb.ac.id</t>
  </si>
  <si>
    <t>Alvian Raihan Ramadan</t>
  </si>
  <si>
    <t>G7401231041</t>
  </si>
  <si>
    <t>089677878476</t>
  </si>
  <si>
    <t>Juara 1 Transporter 2024
Finalis Racing Plane KRTI 2025</t>
  </si>
  <si>
    <t>semua diatas penting</t>
  </si>
  <si>
    <t>Jadwal Operasional Terbatas, Waktu pembinaan kurang panjang, belum ada</t>
  </si>
  <si>
    <t>fakhrulmubarok19@gmail.com</t>
  </si>
  <si>
    <t>Fakhrul Mubarok</t>
  </si>
  <si>
    <t>H2401231035</t>
  </si>
  <si>
    <t>085314043838</t>
  </si>
  <si>
    <t>Juara 4 Matematika yang diselenggarakan oleh USU</t>
  </si>
  <si>
    <t>Poster, Video pencerdasan, Melalui jaringan komunikasi di grup angkatan</t>
  </si>
  <si>
    <t>Muhammad Alfath Aidil Amin</t>
  </si>
  <si>
    <t>shandikanoufal@apps.ipb.ac.id</t>
  </si>
  <si>
    <t>Shandika Noufal</t>
  </si>
  <si>
    <t>H1401241901</t>
  </si>
  <si>
    <t>083131403573</t>
  </si>
  <si>
    <t>Akses fasilitas memerlukan banyak persyaratan atau dokumen administratif, Jadwal pendampingan berubah secara tiba-tiba, Waktu pembinaan kurang panjang</t>
  </si>
  <si>
    <t>ibnuipb61fathin@apps.ipb.ac.id</t>
  </si>
  <si>
    <t>Ibnu Fathin</t>
  </si>
  <si>
    <t>E1401241101</t>
  </si>
  <si>
    <t>085711048497</t>
  </si>
  <si>
    <t>Finalis - KSR Ruangguru</t>
  </si>
  <si>
    <t>KTI Nasional Universitas Megarezky</t>
  </si>
  <si>
    <t>Baru menggunakan fasilitas outsco dan itu cukup baik</t>
  </si>
  <si>
    <t>nurlailiwahidahlaili@apps.ipb.ac.id</t>
  </si>
  <si>
    <t>Nur Laili Wahidah</t>
  </si>
  <si>
    <t>K1401241162</t>
  </si>
  <si>
    <t>085727260320</t>
  </si>
  <si>
    <t>Juara 1 - Inception BMC Competition Universitas Gadjah Mada - 2025
Juara 2 BMC Mabista Day Universitas Tujuh Belas Agustus Surabaya - 2025
Juara 1 Essay Komik Immatik UIN Jambi - 2023</t>
  </si>
  <si>
    <t>Proposal tidak perlu diprint cetak</t>
  </si>
  <si>
    <t>safiraayudamayanti71@gmail.com</t>
  </si>
  <si>
    <t>Safira Ayu Damayanti</t>
  </si>
  <si>
    <t>M04032341010</t>
  </si>
  <si>
    <t>089608709106</t>
  </si>
  <si>
    <t>Finalis 4th Eduversal Mathematics Competition 2022
Peserta Olimpiade Sains Nasional Tingkat Sekolah bidang Matematika 2023</t>
  </si>
  <si>
    <t>Sosialisasi lebih banyak, misalnya lewar channel WA dan disebarluaskan di berbagai grup BEM/Organisasi/UKM/Komunitas dan kerja sama dengan Akpres BEM wilayah dan pusat</t>
  </si>
  <si>
    <t>syifasuci@apps.ipb.ac.id</t>
  </si>
  <si>
    <t xml:space="preserve">Syifa Suci Fitriani </t>
  </si>
  <si>
    <t xml:space="preserve">H1401251035 </t>
  </si>
  <si>
    <t>082284157086</t>
  </si>
  <si>
    <t>Juara 1-Nasional-BPC AIS Competition-2025
Juara 2-Nasional-BPC MPI Fair-2025
Juara 2-Nasional-BPC Enfair VIII-2025</t>
  </si>
  <si>
    <t>walidahnaf@apps.ipb.ac.id</t>
  </si>
  <si>
    <t>walid nadirul ahnaf</t>
  </si>
  <si>
    <t>G6401231109</t>
  </si>
  <si>
    <t>085819994291</t>
  </si>
  <si>
    <t>gemastik data mining 2024
juara 2 AgriUXDesign - Agriinformatics 2025</t>
  </si>
  <si>
    <t>lebih agresif dalam sosialisasi dan support ke mahasiswa</t>
  </si>
  <si>
    <t>darmaajiaji@apps.ipb.ac.id</t>
  </si>
  <si>
    <t>Darma Aji Nugraha</t>
  </si>
  <si>
    <t>B0401241075</t>
  </si>
  <si>
    <t>085229533046</t>
  </si>
  <si>
    <t>PKM RE di danai 2025</t>
  </si>
  <si>
    <t>Pemberitahuan lomba sebaik jangan 2 hari sebelum lomba dan pemberian informasi lebih lengkap dan cepat</t>
  </si>
  <si>
    <t>indahhhindah@apps.ipb.ac.id</t>
  </si>
  <si>
    <t>Sri Indah</t>
  </si>
  <si>
    <t>H2401251050</t>
  </si>
  <si>
    <t>085863133185</t>
  </si>
  <si>
    <t>1. Juara 1 Law Debate Competition Tingkat Kota &amp; Kabupaten 2024
2. Juara 3 LDBI Tingkat Kabupaten 2024</t>
  </si>
  <si>
    <t>Untuk saat ini, sepertinya belum ada. Semoga Fasilitas Kompetitif IPB Prestasi senantiasa memberikan pelayanan yang baik dan atau efektif bagi para mahasiswa.</t>
  </si>
  <si>
    <t>muhammaddzulfaiqabrar@gmail.com</t>
  </si>
  <si>
    <t>Muh. Dzulfaiq Abrar</t>
  </si>
  <si>
    <t>K1401241177</t>
  </si>
  <si>
    <t>089515160080</t>
  </si>
  <si>
    <t>Juara 1 - International Business Case Competition UNHAS
Juara 1 - National Business Plan Competition UNJ
Juara 1 - National Business Plan Competition UI</t>
  </si>
  <si>
    <t>Video tren, Website, Channel di WA atau IG</t>
  </si>
  <si>
    <t>Akses fasilitas memerlukan banyak persyaratan atau dokumen administratif, Kurang Informasi Mekanisme Pengurusan, Minimnya Digitalisasi Pengajuan masih banyak yang harus manual</t>
  </si>
  <si>
    <t>anjaniputri@apps.ipb.ac.id</t>
  </si>
  <si>
    <t>Anjani Putri</t>
  </si>
  <si>
    <t>C3401241041</t>
  </si>
  <si>
    <t>085721179923</t>
  </si>
  <si>
    <t>Terbaik ke-2-PKM GFT-AWARDUNG OMB IPB 61-2024
Finalis-IPB Prestasi-FACULTY WAR-2025
Peringkat 17-Nasional-GELORA-2026</t>
  </si>
  <si>
    <t>Video tren, Instastory, Sosialisasi secara offline</t>
  </si>
  <si>
    <t xml:space="preserve">Kurang Informasi Mekanisme Pengurusan, Waktu pembinaan kurang panjang, </t>
  </si>
  <si>
    <t>imanuelkskristian@apps.ipb.ac.id</t>
  </si>
  <si>
    <t>Imanuel Kristian Sugiono</t>
  </si>
  <si>
    <t>G2401251009</t>
  </si>
  <si>
    <t>0881026293610</t>
  </si>
  <si>
    <t xml:space="preserve">Juara 1 Esai Gemilang Nasional 2025
Juara 2 Nursing Essay Infografis competition national 2025 </t>
  </si>
  <si>
    <t>Website IPB Prestasi, Website Fakultas/Program Studi, Postingan instagram @ipbprestasi</t>
  </si>
  <si>
    <t>Waktu proses lama, Jadwal Operasional Terbatas, Jadwal pendampingan berubah secara tiba-tiba</t>
  </si>
  <si>
    <t>Sejauh ini cukup bagus, namun mungkin untuk proses pendanaan lomba mandiri itu saya kurang paham dengan alur dan prosesnya</t>
  </si>
  <si>
    <t>litanazwa@apps.ipb.ac.id</t>
  </si>
  <si>
    <t xml:space="preserve">Nazwa Lita Arofu </t>
  </si>
  <si>
    <t>D3401231007</t>
  </si>
  <si>
    <t>081385879297</t>
  </si>
  <si>
    <t>Juara 1 - Phyfest 2025 Universitas Mataram</t>
  </si>
  <si>
    <t>nylshafira@apps.ipb.ac.id</t>
  </si>
  <si>
    <t>Nayla Shafira</t>
  </si>
  <si>
    <t>J0410251137</t>
  </si>
  <si>
    <t>081377460088</t>
  </si>
  <si>
    <t xml:space="preserve">Juara 3 - Nasiona - Student Company  Prestasi Junior Indonesia - 2023
Juara 3 - Nasional - Business Modal Canvas Universitas Bakrie - 2024
Juara 1 - Regional - Student Company Prestasi Junior Indonesia - 2023 
Juara 3 - Regional - BPC GeoTourism - 2024
</t>
  </si>
  <si>
    <t>Postingan instagram @ipbprestasi, Postingan instagram UKM</t>
  </si>
  <si>
    <t>vimalagita@apps.ipb.ac.id</t>
  </si>
  <si>
    <t>Vimala Gita</t>
  </si>
  <si>
    <t>G4401241063</t>
  </si>
  <si>
    <t>08568383856</t>
  </si>
  <si>
    <t>Diplomasi, public speaking, sains penalaran</t>
  </si>
  <si>
    <t>Baru memiliki kepercayaan diri untuk mencoba</t>
  </si>
  <si>
    <t>richardoliemanto12@gmail.com</t>
  </si>
  <si>
    <t>Richardo Nugroho Liemanto</t>
  </si>
  <si>
    <t>M0401251027</t>
  </si>
  <si>
    <t>082211378634</t>
  </si>
  <si>
    <t>Belum memiliki rekan tim yang pas dan waktu yang cocok</t>
  </si>
  <si>
    <t>Mendapatkan dan berkolaborasi dengan mitra eksternal (LSM, CSR, dll.)</t>
  </si>
  <si>
    <t>nazwayumna@apps.ipb.ac.id</t>
  </si>
  <si>
    <t xml:space="preserve">Yumna Nazwa Duratul Hikmah </t>
  </si>
  <si>
    <t>H2401241124</t>
  </si>
  <si>
    <t>082142692409</t>
  </si>
  <si>
    <t>The Most Feasible Idea - Nasional - BCC</t>
  </si>
  <si>
    <t>Untuk program pembinaan lomba, bisa dibuat lebih intensif dan waktunya lebih lama</t>
  </si>
  <si>
    <t>hudzaifahabdurrahman@apps.ipb.ac.id</t>
  </si>
  <si>
    <t>Hudzaifah Abdurrahman</t>
  </si>
  <si>
    <t>F3401241095</t>
  </si>
  <si>
    <t>081349355887</t>
  </si>
  <si>
    <t>ms.amelamalia@apps.ipb.ac.id</t>
  </si>
  <si>
    <t>Resky Amalia Putri</t>
  </si>
  <si>
    <t>J0401241091</t>
  </si>
  <si>
    <t>081944455006</t>
  </si>
  <si>
    <t>juara 1-nasional-bpc grandeconomic unj 2024
juara 2-nasional-bmc-untag-2025</t>
  </si>
  <si>
    <t>sudahh baguus bgttt</t>
  </si>
  <si>
    <t>yuliacahya@apps.ipb.ac.id</t>
  </si>
  <si>
    <t>Yulia Cahya Ningrum</t>
  </si>
  <si>
    <t>H4401241044</t>
  </si>
  <si>
    <t>082137201363</t>
  </si>
  <si>
    <t>1st Place International Business Strategy Competition - Universitas Negeri Jakarta
1st Place National Essay Competition ADBIS FEST 2026 - Fakultas Ilmu Sosial dan Ilmu Politik Universitas Riau
PKM-GFT Nasional Lolos Didanai Tahun 2025 - Direktorat Pembelajaran dan Kemahasiswaan, 
Kemendikbudristek</t>
  </si>
  <si>
    <t>fahmifauzihidayat@apps.ipb.ac.id</t>
  </si>
  <si>
    <t xml:space="preserve">Fahmi Fauzi Hidayat </t>
  </si>
  <si>
    <t>G7401251088</t>
  </si>
  <si>
    <t>089671508296</t>
  </si>
  <si>
    <t>ikut tapi belum ada yang mendapatkan juara, contoh ibf bisnis plan</t>
  </si>
  <si>
    <t>belum ada karena saya belum pernah menggunakan fasilitasnya</t>
  </si>
  <si>
    <t>tiaraaraaramadani@apps.ipb.ac.id</t>
  </si>
  <si>
    <t>Tiara Ramadani</t>
  </si>
  <si>
    <t>H1401251030</t>
  </si>
  <si>
    <t>08152351051</t>
  </si>
  <si>
    <t>belum memikirkan secara matang dan plan belum jelas</t>
  </si>
  <si>
    <t>silafatimah@apps.ipb.ac.id</t>
  </si>
  <si>
    <t xml:space="preserve">Sila Maesa Ayu Nur Fatimah </t>
  </si>
  <si>
    <t>J0413241042</t>
  </si>
  <si>
    <t>088211558288</t>
  </si>
  <si>
    <t>Mungkin diadakan informasi secara menyeluruh secara langsung atau umum</t>
  </si>
  <si>
    <t>prasetya.hanif@apps.ipb.ac.id</t>
  </si>
  <si>
    <t>Ahmad Hanif Prasetya</t>
  </si>
  <si>
    <t>B0401231118</t>
  </si>
  <si>
    <t>089505791009</t>
  </si>
  <si>
    <t>Belum banyak mengulik informasi karena minat yang cukup baru dan kegiatan fakultas yang cukup padat</t>
  </si>
  <si>
    <t>OSN Matematika saat SMP, Finalis Nasional KMNR 2017, Juara 2 LCT AMIPA SMP</t>
  </si>
  <si>
    <t>Sudah baik</t>
  </si>
  <si>
    <t>krisnaadisueta@apps.ipb.ac.id</t>
  </si>
  <si>
    <t>I Kadek Krisna Adi Sueta</t>
  </si>
  <si>
    <t>K1401241004</t>
  </si>
  <si>
    <t>085858655167</t>
  </si>
  <si>
    <t>SMA
Medali Perak - Festival Inovasi dan Kewirausahaan Indonesia Siswa Indonesia (FIKSI) - 2023
Kuliah
Juara 1 - International Business Strategy Competition UNJ - 2025
Juara 2 - Global Business Plan Competition ITB - 2025</t>
  </si>
  <si>
    <t>nurul123mirawati@apps.ipb.ac.id</t>
  </si>
  <si>
    <t xml:space="preserve">Nurul Mirawati </t>
  </si>
  <si>
    <t>C5401251067</t>
  </si>
  <si>
    <t>085716273952</t>
  </si>
  <si>
    <t>Belum mendapatkan lingkungan atau fasilitas yang sesuai</t>
  </si>
  <si>
    <t>Tidak tertarik</t>
  </si>
  <si>
    <t>aisyahjazlyn1@apps.ipb.ac.id</t>
  </si>
  <si>
    <t>Aisyah Jazlyn Rizqia</t>
  </si>
  <si>
    <t>H5401241019</t>
  </si>
  <si>
    <t>081289500208</t>
  </si>
  <si>
    <t>Juara 1 BMC Competition Student Innopreneur Community IPB</t>
  </si>
  <si>
    <t>Jadwal Operasional Terbatas, Jadwal pendampingan berubah secara tiba-tiba, Waktu pembinaan kurang panjang</t>
  </si>
  <si>
    <t>Fasilitasi mahasiswa yang ingin memulai lomba di bidang yang diminati benar benar dari dasar, jadi mereka yang punya keinginan kuat saja, meski belum punya basic bsia mencoba dan belajar. Berikan arahan next step nya harus speerti apa dalam bentuk pelatihan dan oendampingan intensif lalu berikan semacam training yang sifatnya kontinu sampai mahasiswa tersebut bisa submit ke lomba nya dan maksimal atau bahkan mendapat juara. 
Sebetulnya kurang lebih sama dengan INCP tapi ini lebih di dampingi setiap prosesnya dan diberi tahu next stepnnya serta tidak harus memiliki dasar kemampuan apa apaa. Karena menurut saya INCP itu biasanya sifatnya berupa review, jadi untuk kita yang baru mau memulai sesuatu cukup sulit bahkan untuk membuat draft nya sajaa</t>
  </si>
  <si>
    <t>ipbelajarnadini@apps.ipb.ac.id</t>
  </si>
  <si>
    <t>Nadini Lailisa Kinasih</t>
  </si>
  <si>
    <t>H4401251036</t>
  </si>
  <si>
    <t>081310300303</t>
  </si>
  <si>
    <t>Postingan instagram BEM KM/BEM Fakultas/Himpunan</t>
  </si>
  <si>
    <t xml:space="preserve">Perbanyak pelatihan lomba dalam konteks terbuka untuk seluruh KM IPB. Baik untuk mahasiswa/i yang belum pernah mengikuti perlombaan/sudah. Tolong di reach out juga dengan cara menyebar poster mungkin ke group asrama atau melalui komti kelas </t>
  </si>
  <si>
    <t>faindahadela@apps.ipb.ac.id</t>
  </si>
  <si>
    <t>Adela anur faindah</t>
  </si>
  <si>
    <t>M0402251044</t>
  </si>
  <si>
    <t>082219762844</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</si>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</sst>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yy\ h:mm:ss"/>
    <numFmt numFmtId="165" formatCode="0.000"/>
    <numFmt numFmtId="166" formatCode="#,##0.000"/>
  </numFmts>
  <fonts count="6" x14ac:knownFonts="1">
    <font>
      <sz val="10"/>
      <color rgb="FF000000"/>
      <name val="Arial"/>
      <scheme val="minor"/>
    </font>
    <font>
      <b/>
      <sz val="10"/>
      <color theme="1"/>
      <name val="Arial"/>
    </font>
    <font>
      <b/>
      <sz val="10"/>
      <color rgb="FF000000"/>
      <name val="Arial"/>
      <scheme val="minor"/>
    </font>
    <font>
      <sz val="10"/>
      <color theme="1"/>
      <name val="Arial"/>
      <scheme val="minor"/>
    </font>
    <font>
      <sz val="10"/>
      <color theme="1"/>
      <name val="Arial"/>
    </font>
    <font>
      <sz val="10"/>
      <name val="Arial"/>
    </font>
  </fonts>
  <fills count="10">
    <fill>
      <patternFill patternType="none"/>
    </fill>
    <fill>
      <patternFill patternType="gray125"/>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FFFFF"/>
        <bgColor rgb="FFFFFFFF"/>
      </patternFill>
    </fill>
    <fill>
      <patternFill patternType="solid">
        <fgColor rgb="FFFFFF00"/>
        <bgColor rgb="FFFFFF00"/>
      </patternFill>
    </fill>
    <fill>
      <patternFill patternType="solid">
        <fgColor rgb="FFD9D2E9"/>
        <bgColor rgb="FFD9D2E9"/>
      </patternFill>
    </fill>
    <fill>
      <patternFill patternType="solid">
        <fgColor rgb="FFB6D7A8"/>
        <bgColor rgb="FFB6D7A8"/>
      </patternFill>
    </fill>
    <fill>
      <patternFill patternType="solid">
        <fgColor rgb="FFA9D08E"/>
        <bgColor rgb="FFA9D08E"/>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47">
    <xf numFmtId="0" fontId="0" fillId="0" borderId="0" xfId="0"/>
    <xf numFmtId="0" fontId="1" fillId="2" borderId="1" xfId="0" applyFont="1" applyFill="1" applyBorder="1" applyAlignment="1">
      <alignment horizontal="center"/>
    </xf>
    <xf numFmtId="0" fontId="2" fillId="2" borderId="1" xfId="0" applyFont="1" applyFill="1" applyBorder="1" applyAlignment="1">
      <alignment horizontal="center"/>
    </xf>
    <xf numFmtId="0" fontId="3" fillId="0" borderId="1" xfId="0" applyFont="1" applyBorder="1"/>
    <xf numFmtId="0" fontId="3" fillId="3" borderId="1" xfId="0" applyFont="1" applyFill="1" applyBorder="1"/>
    <xf numFmtId="0" fontId="3" fillId="4" borderId="1" xfId="0" applyFont="1" applyFill="1" applyBorder="1"/>
    <xf numFmtId="0" fontId="3" fillId="0" borderId="0" xfId="0" applyFont="1" applyAlignment="1">
      <alignment horizontal="left" vertical="center"/>
    </xf>
    <xf numFmtId="0" fontId="3" fillId="5" borderId="0" xfId="0" applyFont="1" applyFill="1"/>
    <xf numFmtId="0" fontId="3" fillId="6" borderId="1" xfId="0" applyFont="1" applyFill="1" applyBorder="1"/>
    <xf numFmtId="0" fontId="3" fillId="7" borderId="1" xfId="0" applyFont="1" applyFill="1" applyBorder="1"/>
    <xf numFmtId="0" fontId="1" fillId="0" borderId="0" xfId="0" applyFont="1"/>
    <xf numFmtId="0" fontId="4" fillId="0" borderId="0" xfId="0" applyFont="1"/>
    <xf numFmtId="0" fontId="4" fillId="0" borderId="1" xfId="0" applyFont="1" applyBorder="1"/>
    <xf numFmtId="0" fontId="4" fillId="0" borderId="1" xfId="0" applyFont="1" applyBorder="1" applyAlignment="1">
      <alignment horizontal="center"/>
    </xf>
    <xf numFmtId="165" fontId="4" fillId="0" borderId="1" xfId="0" applyNumberFormat="1" applyFont="1" applyBorder="1" applyAlignment="1">
      <alignment horizontal="center"/>
    </xf>
    <xf numFmtId="0" fontId="1" fillId="8" borderId="1" xfId="0" applyFont="1" applyFill="1" applyBorder="1" applyAlignment="1">
      <alignment horizontal="center"/>
    </xf>
    <xf numFmtId="0" fontId="1" fillId="5" borderId="0" xfId="0" applyFont="1" applyFill="1" applyAlignment="1">
      <alignment horizontal="center"/>
    </xf>
    <xf numFmtId="166" fontId="4" fillId="0" borderId="1" xfId="0" applyNumberFormat="1" applyFont="1" applyBorder="1"/>
    <xf numFmtId="166" fontId="4" fillId="0" borderId="1" xfId="0" applyNumberFormat="1" applyFont="1" applyBorder="1" applyAlignment="1">
      <alignment horizontal="center"/>
    </xf>
    <xf numFmtId="166" fontId="1" fillId="8" borderId="1" xfId="0" applyNumberFormat="1" applyFont="1" applyFill="1" applyBorder="1" applyAlignment="1">
      <alignment horizontal="center"/>
    </xf>
    <xf numFmtId="166" fontId="4" fillId="0" borderId="0" xfId="0" applyNumberFormat="1" applyFont="1"/>
    <xf numFmtId="166" fontId="1" fillId="0" borderId="0" xfId="0" applyNumberFormat="1" applyFont="1"/>
    <xf numFmtId="0" fontId="3" fillId="0" borderId="0" xfId="0" applyFont="1" applyAlignment="1">
      <alignment horizontal="center"/>
    </xf>
    <xf numFmtId="164" fontId="3" fillId="0" borderId="0" xfId="0" applyNumberFormat="1" applyFont="1" applyAlignment="1">
      <alignment vertical="center"/>
    </xf>
    <xf numFmtId="0" fontId="3" fillId="0" borderId="0" xfId="0" applyFont="1" applyAlignment="1">
      <alignment vertical="center"/>
    </xf>
    <xf numFmtId="0" fontId="3" fillId="0" borderId="0" xfId="0" quotePrefix="1" applyFont="1" applyAlignment="1">
      <alignment vertical="center"/>
    </xf>
    <xf numFmtId="0" fontId="1" fillId="9" borderId="2" xfId="0" applyFont="1" applyFill="1" applyBorder="1" applyAlignment="1">
      <alignment horizontal="center"/>
    </xf>
    <xf numFmtId="0" fontId="5" fillId="0" borderId="3" xfId="0" applyFont="1" applyBorder="1"/>
    <xf numFmtId="0" fontId="5" fillId="0" borderId="4" xfId="0" applyFont="1" applyBorder="1"/>
    <xf numFmtId="166" fontId="1" fillId="9" borderId="2" xfId="0" applyNumberFormat="1" applyFont="1" applyFill="1" applyBorder="1" applyAlignment="1">
      <alignment horizontal="center"/>
    </xf>
    <xf numFmtId="0" fontId="0" fillId="0" borderId="5" xfId="0" pivotButton="1" applyBorder="1"/>
    <xf numFmtId="0" fontId="0" fillId="0" borderId="6" xfId="0" applyBorder="1"/>
    <xf numFmtId="0" fontId="0" fillId="0" borderId="7" xfId="0" applyBorder="1"/>
    <xf numFmtId="0" fontId="0" fillId="0" borderId="5" xfId="0" applyBorder="1"/>
    <xf numFmtId="0" fontId="0" fillId="0" borderId="8" xfId="0" applyBorder="1"/>
    <xf numFmtId="0" fontId="0" fillId="0" borderId="9" xfId="0" applyBorder="1"/>
    <xf numFmtId="0" fontId="0" fillId="0" borderId="5" xfId="0" applyNumberFormat="1" applyBorder="1"/>
    <xf numFmtId="0" fontId="0" fillId="0" borderId="8" xfId="0" applyNumberFormat="1" applyBorder="1"/>
    <xf numFmtId="0" fontId="0" fillId="0" borderId="9" xfId="0" applyNumberFormat="1" applyBorder="1"/>
    <xf numFmtId="0" fontId="0" fillId="0" borderId="10" xfId="0" applyBorder="1"/>
    <xf numFmtId="0" fontId="0" fillId="0" borderId="10" xfId="0" applyNumberFormat="1" applyBorder="1"/>
    <xf numFmtId="0" fontId="0" fillId="0" borderId="0" xfId="0" applyNumberFormat="1"/>
    <xf numFmtId="0" fontId="0" fillId="0" borderId="11" xfId="0" applyNumberFormat="1" applyBorder="1"/>
    <xf numFmtId="0" fontId="0" fillId="0" borderId="12" xfId="0" applyBorder="1"/>
    <xf numFmtId="0" fontId="0" fillId="0" borderId="12" xfId="0" applyNumberFormat="1" applyBorder="1"/>
    <xf numFmtId="0" fontId="0" fillId="0" borderId="13" xfId="0" applyNumberFormat="1" applyBorder="1"/>
    <xf numFmtId="0" fontId="0" fillId="0" borderId="14" xfId="0" applyNumberFormat="1" applyBorder="1"/>
  </cellXfs>
  <cellStyles count="1">
    <cellStyle name="Normal" xfId="0" builtinId="0"/>
  </cellStyles>
  <dxfs count="8">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tableStyle name="Form Responses 1-style" pivot="0" count="4" xr9:uid="{00000000-0011-0000-FFFF-FFFF00000000}">
      <tableStyleElement type="wholeTable" size="0" dxfId="4"/>
      <tableStyleElement type="headerRow" dxfId="7"/>
      <tableStyleElement type="firstRowStripe" dxfId="6"/>
      <tableStyleElement type="secondRowStripe" dxfId="5"/>
    </tableStyle>
    <tableStyle name="Copy of Form Responses 1-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ffad Kyanz" refreshedDate="46233.715619097224" refreshedVersion="8" recordCount="7" xr:uid="{00000000-000A-0000-FFFF-FFFF00000000}">
  <cacheSource type="worksheet">
    <worksheetSource ref="A1:DR107" sheet="Copy of Form Responses 1"/>
  </cacheSource>
  <cacheFields count="122">
    <cacheField name="Timestamp" numFmtId="0">
      <sharedItems containsNonDate="0" containsDate="1" containsString="0" containsBlank="1" minDate="2025-11-12T17:40:29" maxDate="2025-11-17T10:43:16"/>
    </cacheField>
    <cacheField name="Email Address" numFmtId="0">
      <sharedItems containsBlank="1"/>
    </cacheField>
    <cacheField name="Score" numFmtId="0">
      <sharedItems containsString="0" containsBlank="1" containsNumber="1" containsInteger="1" minValue="0" maxValue="0"/>
    </cacheField>
    <cacheField name="Nama Lengkap" numFmtId="0">
      <sharedItems containsBlank="1"/>
    </cacheField>
    <cacheField name="NIM" numFmtId="0">
      <sharedItems containsBlank="1"/>
    </cacheField>
    <cacheField name="Fakultas " numFmtId="0">
      <sharedItems containsBlank="1" count="6">
        <s v="E"/>
        <s v="M"/>
        <s v="F"/>
        <s v="I"/>
        <s v="A"/>
        <m/>
      </sharedItems>
    </cacheField>
    <cacheField name="Jenis Kelamin" numFmtId="0">
      <sharedItems containsBlank="1"/>
    </cacheField>
    <cacheField name="Angkatan" numFmtId="0">
      <sharedItems containsString="0" containsBlank="1" containsNumber="1" containsInteger="1" minValue="61" maxValue="62" count="3">
        <n v="62"/>
        <n v="61"/>
        <m/>
      </sharedItems>
    </cacheField>
    <cacheField name="Nomor Whatsapp" numFmtId="0">
      <sharedItems containsBlank="1"/>
    </cacheField>
    <cacheField name="Tempat Tinggal saat Kuliah" numFmtId="0">
      <sharedItems containsBlank="1"/>
    </cacheField>
    <cacheField name="Jalur Masuk" numFmtId="0">
      <sharedItems containsBlank="1"/>
    </cacheField>
    <cacheField name="Manakah komunitas yang pernah atau sedang Anda ikuti di bawah inil?" numFmtId="0">
      <sharedItems containsBlank="1"/>
    </cacheField>
    <cacheField name="Pada jalur PIN atau Talenta, Anda masuk sebagai kategori apa?" numFmtId="0">
      <sharedItems containsBlank="1"/>
    </cacheField>
    <cacheField name="Apakah kamu adalah orang yang cepat beradaptasi dengan lingkungan baru?" numFmtId="0">
      <sharedItems containsBlank="1"/>
    </cacheField>
    <cacheField name="Jika &quot;Ya&quot;, apa alasan utama kamu merasa cepat beradaptasi? " numFmtId="0">
      <sharedItems containsBlank="1"/>
    </cacheField>
    <cacheField name="Jika menjawab &quot;Tidak&quot;, apa alasan utama kamu merasa tidak cepat beradaptasi? " numFmtId="0">
      <sharedItems containsBlank="1"/>
    </cacheField>
    <cacheField name="Apakah kamu lebih suka bekerja sendirian dibandingkan melakukan kerja sama tim?" numFmtId="0">
      <sharedItems containsBlank="1"/>
    </cacheField>
    <cacheField name="Jika &quot;Ya&quot;, Apa alasan kamu lebih memilih untuk bekerja sendirian atau independen? " numFmtId="0">
      <sharedItems containsBlank="1"/>
    </cacheField>
    <cacheField name="Jika &quot;Tidak&quot;,  Apa alasan kamu lebih memilih untuk bekerja sama atau berkelompok? " numFmtId="0">
      <sharedItems containsBlank="1"/>
    </cacheField>
    <cacheField name="Selama berkuliah manakah yang menggambarkan kamu? " numFmtId="0">
      <sharedItems containsBlank="1"/>
    </cacheField>
    <cacheField name="Apakah kamu memiliki minat untuk mengikuti lomba/kompetisi saat berkuliah di IPB?" numFmtId="0">
      <sharedItems containsBlank="1"/>
    </cacheField>
    <cacheField name="Jika &quot;Ya&quot; Apa yang menjadi alasan utama kamu memiliki minat untuk berkompetisi? " numFmtId="0">
      <sharedItems containsBlank="1"/>
    </cacheField>
    <cacheField name="Jika &quot;Tidak&quot; Apa yang menjadi alasan utama kamu tidak memiliki minat berkompetisi? " numFmtId="0">
      <sharedItems containsBlank="1"/>
    </cacheField>
    <cacheField name="Kegiatan kampus seperti apa yang paling seru dan nggak bikin kamu cepat bosan? " numFmtId="0">
      <sharedItems containsNonDate="0" containsString="0" containsBlank="1"/>
    </cacheField>
    <cacheField name="Menurut kamu, skill apa yang paling penting buat dikuasai mahasiswa?" numFmtId="0">
      <sharedItems containsNonDate="0" containsString="0" containsBlank="1"/>
    </cacheField>
    <cacheField name="Biasanya kamu ngapain kalau lihat ada masalah dalam kelompok belajar atau organisasi?" numFmtId="0">
      <sharedItems containsNonDate="0" containsString="0" containsBlank="1"/>
    </cacheField>
    <cacheField name="Silahkan pilih pernyataan mana yang kamu sukai dan ingin kamu pelajari [Suka menganalisis data dan memecahkan masalah kompleks]" numFmtId="0">
      <sharedItems containsNonDate="0" containsString="0" containsBlank="1"/>
    </cacheField>
    <cacheField name="Silahkan pilih pernyataan mana yang kamu sukai dan ingin kamu pelajari [Ingin belajar menulis paper ilmiah atau presentasi riset]" numFmtId="0">
      <sharedItems containsNonDate="0" containsString="0" containsBlank="1"/>
    </cacheField>
    <cacheField name="Silahkan pilih pernyataan mana yang kamu sukai dan ingin kamu pelajari [Tertarik dengan studi kasus bisnis atau teknologi terbaru]" numFmtId="0">
      <sharedItems containsNonDate="0" containsString="0" containsBlank="1"/>
    </cacheField>
    <cacheField name="Silahkan pilih pernyataan mana yang kamu sukai dan ingin kamu pelajari [Ingin belajar coding, AI, atau cybersecurity lebih dalam]" numFmtId="0">
      <sharedItems containsNonDate="0" containsString="0" containsBlank="1"/>
    </cacheField>
    <cacheField name="Silahkan pilih pernyataan mana yang kamu sukai dan ingin kamu pelajari [Suka mengembangkan ide bisnis dan strategi pemasaran]" numFmtId="0">
      <sharedItems containsNonDate="0" containsString="0" containsBlank="1"/>
    </cacheField>
    <cacheField name="Silahkan pilih pernyataan mana yang kamu sukai dan ingin kamu pelajari [Ingin belajar pitching ide ke investor atau membuat business plan]" numFmtId="0">
      <sharedItems containsNonDate="0" containsString="0" containsBlank="1"/>
    </cacheField>
    <cacheField name="Silahkan pilih pernyataan mana yang kamu sukai dan ingin kamu pelajari [Ingin belajar menyusun argumen yang solid dan persuasif]" numFmtId="0">
      <sharedItems containsNonDate="0" containsString="0" containsBlank="1"/>
    </cacheField>
    <cacheField name="Silahkan pilih pernyataan mana yang kamu sukai dan ingin kamu pelajari [Senang diskusi isu sosial, politik, atau ekonomi]" numFmtId="0">
      <sharedItems containsNonDate="0" containsString="0" containsBlank="1"/>
    </cacheField>
    <cacheField name="Preferensi Minat Prestasi Mahasiswa, manakah dari 5 kelompok prestasi yang kamu minati? " numFmtId="0">
      <sharedItems containsNonDate="0" containsString="0" containsBlank="1"/>
    </cacheField>
    <cacheField name="Bidang mana yang paling mencerminkan minat dan bakat kamu?  " numFmtId="0">
      <sharedItems containsBlank="1"/>
    </cacheField>
    <cacheField name="Silahkan pilih pernyataan mana yang kamu sukai dan ingin kamu pelajari [Suka menganalisis data dan memecahkan masalah kompleks] 2" numFmtId="0">
      <sharedItems containsBlank="1"/>
    </cacheField>
    <cacheField name="Silahkan pilih pernyataan mana yang kamu sukai dan ingin kamu pelajari [Ingin belajar menulis paper ilmiah atau presentasi riset] 2" numFmtId="0">
      <sharedItems containsBlank="1"/>
    </cacheField>
    <cacheField name="Silahkan pilih pernyataan mana yang kamu sukai dan ingin kamu pelajari [Tertarik dengan studi kasus bisnis atau teknologi terbaru] 2" numFmtId="0">
      <sharedItems containsBlank="1"/>
    </cacheField>
    <cacheField name="Silahkan pilih pernyataan mana yang kamu sukai dan ingin kamu pelajari [Ingin belajar coding, AI, atau cybersecurity lebih dalam] 2" numFmtId="0">
      <sharedItems containsBlank="1"/>
    </cacheField>
    <cacheField name="Silahkan pilih pernyataan mana yang kamu sukai dan ingin kamu pelajari [Suka mengembangkan ide bisnis dan strategi pemasaran] 2" numFmtId="0">
      <sharedItems containsBlank="1"/>
    </cacheField>
    <cacheField name="Silahkan pilih pernyataan mana yang kamu sukai dan ingin kamu pelajari [Ingin belajar pitching ide ke investor atau membuat business plan] 2" numFmtId="0">
      <sharedItems containsBlank="1"/>
    </cacheField>
    <cacheField name="Silahkan pilih pernyataan mana yang kamu sukai dan ingin kamu pelajari [Ingin belajar menyusun argumen yang solid dan persuasif] 2" numFmtId="0">
      <sharedItems containsBlank="1"/>
    </cacheField>
    <cacheField name="Silahkan pilih pernyataan mana yang kamu sukai dan ingin kamu pelajari [Senang diskusi isu sosial, politik, atau ekonomi] 2" numFmtId="0">
      <sharedItems containsBlank="1"/>
    </cacheField>
    <cacheField name="Kapan pertama kali kamu mulai tertarik pada debat dan diplomasi?" numFmtId="0">
      <sharedItems containsNonDate="0" containsString="0" containsBlank="1"/>
    </cacheField>
    <cacheField name="Apakah kamu pernah mengikuti kompetisi debat dan diplomasi?" numFmtId="0">
      <sharedItems containsNonDate="0" containsString="0" containsBlank="1"/>
    </cacheField>
    <cacheField name="Jika &quot;Ya&quot;, Sebutkan kompetisi yang pernah kamu ikuti dengan capaian prestasi  (sebtukan 3 capaian tertinggi) " numFmtId="0">
      <sharedItems containsNonDate="0" containsString="0" containsBlank="1"/>
    </cacheField>
    <cacheField name="Jika &quot;Tidak&quot;, tuliskan alasan kamu belum pernah ikut kompetisi " numFmtId="0">
      <sharedItems containsNonDate="0" containsString="0" containsBlank="1"/>
    </cacheField>
    <cacheField name="Menurutmu, kemampuan apa yang masih perlu ditingkatkan apabila kamu mendapatkan pembinaan pada bidang debat dan diplomasi? " numFmtId="0">
      <sharedItems containsNonDate="0" containsString="0" containsBlank="1"/>
    </cacheField>
    <cacheField name="Apa target kamu dalam ketika memulai menekuni bidang ini? " numFmtId="0">
      <sharedItems containsNonDate="0" containsString="0" containsBlank="1"/>
    </cacheField>
    <cacheField name="Menurut kamu, Fasilitas apa yang perlu ditingkatkan oleh IPB untuk mendukung perkembangan kamu dalam bidang ini." numFmtId="0">
      <sharedItems containsNonDate="0" containsString="0" containsBlank="1"/>
    </cacheField>
    <cacheField name="Kapan pertama kali kamu mulai tertarik pada bidang ICT-Robotika? " numFmtId="0">
      <sharedItems containsNonDate="0" containsString="0" containsBlank="1"/>
    </cacheField>
    <cacheField name="Apakah Anda pernah mengikuti kompetisi ICT-Robotika?" numFmtId="0">
      <sharedItems containsNonDate="0" containsString="0" containsBlank="1"/>
    </cacheField>
    <cacheField name="Jika &quot;Ya&quot;, Sebutkan kompetisi yang pernah kamu ikuti dengan capaian prestasi  (sebtukan 3 capaian tertinggi)  2" numFmtId="0">
      <sharedItems containsNonDate="0" containsString="0" containsBlank="1"/>
    </cacheField>
    <cacheField name="Jika &quot;Tidak&quot;, tuliskan alasan kamu belum pernah ikut kompetisi  2" numFmtId="0">
      <sharedItems containsNonDate="0" containsString="0" containsBlank="1"/>
    </cacheField>
    <cacheField name="Menurutmu, kemampuan apa yang masih perlu ditingkatkan apabila kamu mendapatkan pembinaan pada bidang ini? " numFmtId="0">
      <sharedItems containsNonDate="0" containsString="0" containsBlank="1"/>
    </cacheField>
    <cacheField name="Apa target kamu dalam ketika memulai menekuni bidang ini?  2" numFmtId="0">
      <sharedItems containsNonDate="0" containsString="0" containsBlank="1"/>
    </cacheField>
    <cacheField name="Menurut kamu, Fasilitas apa yang perlu ditingkatkan oleh IPB untuk mendukung perkembangan kamu dalam bidang ini" numFmtId="0">
      <sharedItems containsNonDate="0" containsString="0" containsBlank="1"/>
    </cacheField>
    <cacheField name="Kapan pertama kali kamu mulai tertarik pada pengabdian?" numFmtId="0">
      <sharedItems containsBlank="1"/>
    </cacheField>
    <cacheField name="Apakah kamu pernah mengikuti kompetisi di bidang pengabdian?" numFmtId="0">
      <sharedItems containsBlank="1"/>
    </cacheField>
    <cacheField name="Jika &quot;Ya&quot;, Sebutkan kompetisi yang pernah kamu ikuti dengan capaian prestasi  (sebtukan 3 capaian tertinggi)  3" numFmtId="0">
      <sharedItems containsNonDate="0" containsString="0" containsBlank="1"/>
    </cacheField>
    <cacheField name="Jika &quot;Tidak&quot;, tuliskan alasan kamu belum pernah ikut kompetisi" numFmtId="0">
      <sharedItems containsBlank="1"/>
    </cacheField>
    <cacheField name="Apakah kamu memiliki prestasi di bidang pengabdian?" numFmtId="0">
      <sharedItems containsBlank="1"/>
    </cacheField>
    <cacheField name="Menurutmu, kemampuan apa yang masih perlu ditingkatkan apabila kamu mendapatkan pembinaan pada bidang ini?  2" numFmtId="0">
      <sharedItems containsBlank="1"/>
    </cacheField>
    <cacheField name="Apa target kamu dalam ketika memulai menekuni bidang ini?  3" numFmtId="0">
      <sharedItems containsBlank="1"/>
    </cacheField>
    <cacheField name="Menurut kamu, Fasilitas apa yang perlu ditingkatkan oleh IPB untuk mendukung perkembangan kamu dalam bidang ini 2" numFmtId="0">
      <sharedItems containsBlank="1"/>
    </cacheField>
    <cacheField name="Kapan pertama kali kamu mulai tertarik pada sains dan penalaran?" numFmtId="0">
      <sharedItems containsBlank="1"/>
    </cacheField>
    <cacheField name="Apakah kamu pernah mengikuti kompetisi sains dan penalaran?" numFmtId="0">
      <sharedItems containsBlank="1"/>
    </cacheField>
    <cacheField name="Jika &quot;Ya&quot;, Sebutkan kompetisi yang pernah kamu ikuti dengan capaian prestasi  (sebtukan 3 capaian tertinggi)  4" numFmtId="0">
      <sharedItems containsBlank="1"/>
    </cacheField>
    <cacheField name="Jika &quot;Tidak&quot;, tuliskan alasan kamu belum pernah ikut kompetisi 2" numFmtId="0">
      <sharedItems containsBlank="1"/>
    </cacheField>
    <cacheField name="Menurutmu, kemampuan apa yang masih perlu ditingkatkan apabila kamu mendapatkan pembinaan pada bidang ini?  3" numFmtId="0">
      <sharedItems containsBlank="1"/>
    </cacheField>
    <cacheField name="Apa target kamu dalam ketika memulai menekuni bidang ini?  4" numFmtId="0">
      <sharedItems containsBlank="1"/>
    </cacheField>
    <cacheField name="Menurut kamu, Fasilitas apa yang perlu ditingkatkan oleh IPB untuk mendukung perkembangan kamu dalam bidang ini 3" numFmtId="0">
      <sharedItems containsBlank="1"/>
    </cacheField>
    <cacheField name="Kapan pertama kali kamu mulai tertarik pada bisnis?" numFmtId="0">
      <sharedItems containsNonDate="0" containsString="0" containsBlank="1"/>
    </cacheField>
    <cacheField name="Apakah kamu pernah mengikuti kompetisi bisnis?" numFmtId="0">
      <sharedItems containsNonDate="0" containsString="0" containsBlank="1"/>
    </cacheField>
    <cacheField name="Jika &quot;Ya&quot;, Sebutkan kompetisi yang pernah kamu ikuti dengan capaian prestasi  (sebtukan 3 capaian tertinggi)  5" numFmtId="0">
      <sharedItems containsNonDate="0" containsString="0" containsBlank="1"/>
    </cacheField>
    <cacheField name="Jika &quot;Tidak&quot;, tuliskan alasan kamu belum pernah ikut kompetisi 3" numFmtId="0">
      <sharedItems containsNonDate="0" containsString="0" containsBlank="1"/>
    </cacheField>
    <cacheField name="Menurutmu, kemampuan apa yang masih perlu ditingkatkan apabila kamu mendapatkan pembinaan pada bidang ini?  4" numFmtId="0">
      <sharedItems containsNonDate="0" containsString="0" containsBlank="1"/>
    </cacheField>
    <cacheField name="Apa target kamu dalam ketika memulai menekuni bidang ini?  5" numFmtId="0">
      <sharedItems containsNonDate="0" containsString="0" containsBlank="1"/>
    </cacheField>
    <cacheField name="Menurut kamu, Fasilitas apa yang perlu ditingkatkan oleh IPB untuk mendukung perkembangan kamu dalam bidang ini 4" numFmtId="0">
      <sharedItems containsNonDate="0" containsString="0" containsBlank="1"/>
    </cacheField>
    <cacheField name="Menurut anda, bagaimana pelaksanaan yang paling sesuai untuk pelaksanaan pembinaan?" numFmtId="0">
      <sharedItems containsBlank="1"/>
    </cacheField>
    <cacheField name="Dalam mengikuti pembinaan kompetisi, Anda lebih nyaman dalam pembinaan yang dilakukan dengan kelompok seperti apa?" numFmtId="0">
      <sharedItems containsBlank="1"/>
    </cacheField>
    <cacheField name="Bagaimana aktivitas pembinaan yang paling sesuai untuk diterapkan sebagai pembinaan?" numFmtId="0">
      <sharedItems containsBlank="1"/>
    </cacheField>
    <cacheField name="Dalam memilih program pembinaan kompetisi. Program mana yang lebih sesuai dengan preferensi Anda?" numFmtId="0">
      <sharedItems containsBlank="1"/>
    </cacheField>
    <cacheField name="Menurut Anda, berapa jumlah pelaksanaan pembinaan yang ideal dalam rentang waktu satu bulan ?" numFmtId="0">
      <sharedItems containsBlank="1"/>
    </cacheField>
    <cacheField name="Menurut Anda, seberapa penting peran mentor/pembimbing dalam perlombaan/ kegiatan yang anda ikuti?" numFmtId="0">
      <sharedItems containsString="0" containsBlank="1" containsNumber="1" containsInteger="1" minValue="2" maxValue="4"/>
    </cacheField>
    <cacheField name="Bagaimana tipe mentor/pembimbing yang Anda harapkan?" numFmtId="0">
      <sharedItems containsBlank="1"/>
    </cacheField>
    <cacheField name="Bagaimana kriteria mentor yang “ideal” menurut Anda?" numFmtId="0">
      <sharedItems containsBlank="1"/>
    </cacheField>
    <cacheField name="Apakah Anda pernah sekadar mengetahui salah satu dari program fasilitasi kompetisi yang telah dijelaskan di atas?" numFmtId="0">
      <sharedItems containsBlank="1"/>
    </cacheField>
    <cacheField name="Manakah Program Fasilitasi Kompetitif dari IPB Prestasi yang Anda tahu?" numFmtId="0">
      <sharedItems containsBlank="1"/>
    </cacheField>
    <cacheField name="Saya mengetahui dengan jelas kriteria penilaian kelayakan permohonan pendanaan Fasilitasi Kompetitif tingkat Nasional dan Internasional." numFmtId="0">
      <sharedItems containsString="0" containsBlank="1" containsNumber="1" containsInteger="1" minValue="2" maxValue="4"/>
    </cacheField>
    <cacheField name="Saya mengetahui dengan jelas Petunjuk Teknis Pengajuan Pendanaan Fasilitasi Kompetitif tingkat Nasional dan Internasional." numFmtId="0">
      <sharedItems containsString="0" containsBlank="1" containsNumber="1" containsInteger="1" minValue="2" maxValue="4"/>
    </cacheField>
    <cacheField name="Seberapa puas Anda terhadap Fasilitasi Pendanaan Kompetisi Mandiri Nasional Internasional?" numFmtId="0">
      <sharedItems containsString="0" containsBlank="1" containsNumber="1" containsInteger="1" minValue="3" maxValue="4"/>
    </cacheField>
    <cacheField name="Seberapa besar pengaruh Fasilitasi Pendanaan Kompetisi Mandiri Nasional terhadap keberhasilan lomba?" numFmtId="0">
      <sharedItems containsString="0" containsBlank="1" containsNumber="1" containsInteger="1" minValue="4" maxValue="4"/>
    </cacheField>
    <cacheField name="Seberapa mengetahui dengan jelas proses pengajuan permohonan dana dapat dilakukan dengan mengajukan melalui fitur fasilitasi aktivitas pada studentportal.ipb.ac.id?" numFmtId="0">
      <sharedItems containsString="0" containsBlank="1" containsNumber="1" containsInteger="1" minValue="3" maxValue="4"/>
    </cacheField>
    <cacheField name="Saya mengetahui dengan jelas Teknis Pengajuan Administrasi Kegiatan Nasional dan Internasional." numFmtId="0">
      <sharedItems containsString="0" containsBlank="1" containsNumber="1" containsInteger="1" minValue="2" maxValue="4"/>
    </cacheField>
    <cacheField name="Seberapa puas Anda terhadap Fasilitasi Administrasi Kegiatan Nasional dan Internasional?" numFmtId="0">
      <sharedItems containsString="0" containsBlank="1" containsNumber="1" containsInteger="1" minValue="3" maxValue="4"/>
    </cacheField>
    <cacheField name="Seberapa besar pengaruh Fasilitasi Administrasi Kegiatan Nasional dan Internasional terhadap keberhasilan lomba?" numFmtId="0">
      <sharedItems containsString="0" containsBlank="1" containsNumber="1" containsInteger="1" minValue="4" maxValue="4"/>
    </cacheField>
    <cacheField name="Saya mengetahui dengan jelas Teknis Pengajuan Pembinaan Kegiatan Nasional dan Internasional." numFmtId="0">
      <sharedItems containsString="0" containsBlank="1" containsNumber="1" containsInteger="1" minValue="2" maxValue="4"/>
    </cacheField>
    <cacheField name="Seberapa puas Anda terhadap Fasilitasi Pembinaan Kegiatan Nasional dan Internasional?" numFmtId="0">
      <sharedItems containsString="0" containsBlank="1" containsNumber="1" containsInteger="1" minValue="3" maxValue="4"/>
    </cacheField>
    <cacheField name="Seberapa besar pengaruh Fasilitasi Pembinaan Kegiatan Nasional dan Internasional terhadap keberhasilan lomba?" numFmtId="0">
      <sharedItems containsString="0" containsBlank="1" containsNumber="1" containsInteger="1" minValue="4" maxValue="4"/>
    </cacheField>
    <cacheField name="Saya mengetahui dengan jelas Teknis Pengajuan Insentif Prestasi Kegiatan Nasional dan Internasional." numFmtId="0">
      <sharedItems containsString="0" containsBlank="1" containsNumber="1" containsInteger="1" minValue="2" maxValue="4"/>
    </cacheField>
    <cacheField name="Seberapa puas Anda terhadap Fasilitasi Insentif Prestasi Kompetisi Mandiri?" numFmtId="0">
      <sharedItems containsString="0" containsBlank="1" containsNumber="1" containsInteger="1" minValue="3" maxValue="4"/>
    </cacheField>
    <cacheField name="Seberapa besar pengaruh Fasilitasi Insentif Prestasi Kompetisi Mandiri terhadap keberhasilan lomba?" numFmtId="0">
      <sharedItems containsString="0" containsBlank="1" containsNumber="1" containsInteger="1" minValue="3" maxValue="4"/>
    </cacheField>
    <cacheField name="Seberapa mengetahui dengan jelas proses klaim insentif dapat dilakukan dengan memasukan aktivitas kompetisi pada studentportal.ipb.ac.id?" numFmtId="0">
      <sharedItems containsString="0" containsBlank="1" containsNumber="1" containsInteger="1" minValue="4" maxValue="4"/>
    </cacheField>
    <cacheField name="Seberapa mengetahui dengan jelas pengisian SKPI dilakukan secara otomatis ketika mahasiswa memasukan kegiatannya kedalam fitur aktivitas di studentportal.ipb.ac.id? " numFmtId="0">
      <sharedItems containsString="0" containsBlank="1" containsNumber="1" containsInteger="1" minValue="1" maxValue="4"/>
    </cacheField>
    <cacheField name="Dari mana anda mengetahui adanya Fasilitasi Kompetitif dari IPB Prestasi?" numFmtId="0">
      <sharedItems containsBlank="1"/>
    </cacheField>
    <cacheField name="Menurut anda, seberapa efektif promosi Fasilitasi Kompetitif dari IPB Prestasi untuk menjangkau semua mahasiswa?" numFmtId="0">
      <sharedItems containsString="0" containsBlank="1" containsNumber="1" containsInteger="1" minValue="2" maxValue="4"/>
    </cacheField>
    <cacheField name="Jenis media promosi dan informasi seperti apa yang anda sukai?" numFmtId="0">
      <sharedItems containsBlank="1"/>
    </cacheField>
    <cacheField name="Apakah Anda pernah menggunakan Fasilitasi Kompetitif IPB Prestasi?" numFmtId="0">
      <sharedItems containsBlank="1"/>
    </cacheField>
    <cacheField name="Bagaimana kualitas layanan saat Anda mengajukan pertanyaan atau melaporkan kendala?" numFmtId="0">
      <sharedItems containsString="0" containsBlank="1" containsNumber="1" containsInteger="1" minValue="4" maxValue="4"/>
    </cacheField>
    <cacheField name="Bagaimana kemudahan mekanisme/alur pengajuan Fasilitasi?" numFmtId="0">
      <sharedItems containsString="0" containsBlank="1" containsNumber="1" containsInteger="1" minValue="2" maxValue="2"/>
    </cacheField>
    <cacheField name="Bagaimana kecepatan verifikasi sampai dengan penyetujuan pengajuan? " numFmtId="0">
      <sharedItems containsString="0" containsBlank="1" containsNumber="1" containsInteger="1" minValue="4" maxValue="4"/>
    </cacheField>
    <cacheField name="Kendala utama dalam mengakses/menjalani Fasilitasi Kompetitif IPB" numFmtId="0">
      <sharedItems containsBlank="1"/>
    </cacheField>
    <cacheField name="Menurut anda apa evaluasi untuk Fasilitas Kompetitif IPB?" numFmtId="0">
      <sharedItems containsBlank="1"/>
    </cacheField>
    <cacheField name="Apakah ada saran yang ingin Anda berikan untuk meningkatkan Fasilitasi Kompetitif IPB Prestasi? Apabila ada, tuliskan saran Anda!." numFmtId="0">
      <sharedItems containsBlank="1"/>
    </cacheField>
    <cacheField name="Column 117" numFmtId="0">
      <sharedItems containsNonDate="0" containsString="0" containsBlank="1"/>
    </cacheField>
    <cacheField name="Column 118" numFmtId="0">
      <sharedItems containsNonDate="0" containsString="0" containsBlank="1"/>
    </cacheField>
    <cacheField name="Column 119" numFmtId="0">
      <sharedItems containsNonDate="0" containsString="0" containsBlank="1"/>
    </cacheField>
    <cacheField name="Column 120" numFmtId="0">
      <sharedItems containsNonDate="0" containsString="0" containsBlank="1"/>
    </cacheField>
    <cacheField name="Column 121" numFmtId="0">
      <sharedItems containsNonDate="0" containsString="0" containsBlank="1"/>
    </cacheField>
    <cacheField name="Column 12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25-11-12T17:40:29"/>
    <s v=""/>
    <n v="0"/>
    <s v="Kinara Rajwaa Putri Fatgianto"/>
    <s v="E3401251023"/>
    <x v="0"/>
    <s v="Perempuan"/>
    <x v="0"/>
    <s v="085718674226"/>
    <s v="Asrama"/>
    <s v="SNBP"/>
    <s v="Tidak satupun dari komunitas di atas pernah/sedang saya ikut."/>
    <m/>
    <s v="Ya"/>
    <m/>
    <s v="-"/>
    <s v="Ya"/>
    <m/>
    <m/>
    <s v="Suka menekuni hobi hingga bisa ikut kompetisi atau memiliki niat berkompetisi dan punya capaian tertentu"/>
    <s v="Ya"/>
    <m/>
    <m/>
    <m/>
    <m/>
    <m/>
    <m/>
    <m/>
    <m/>
    <m/>
    <m/>
    <m/>
    <m/>
    <m/>
    <m/>
    <s v="Sains dan Penalaran"/>
    <m/>
    <m/>
    <m/>
    <m/>
    <m/>
    <m/>
    <m/>
    <m/>
    <m/>
    <m/>
    <m/>
    <m/>
    <m/>
    <m/>
    <m/>
    <m/>
    <m/>
    <m/>
    <m/>
    <m/>
    <m/>
    <m/>
    <m/>
    <m/>
    <m/>
    <m/>
    <m/>
    <m/>
    <m/>
    <m/>
    <s v="Sejak SMP"/>
    <s v="Ya"/>
    <m/>
    <m/>
    <s v="Kemampuan berpikir dalam mengerjakan soal-soal sulit"/>
    <s v="Mempublikasikan karya atau gagasan di media ilmiah/populer kredibel"/>
    <s v="Pendanaan untuk riset atau lomba akademik"/>
    <m/>
    <m/>
    <m/>
    <m/>
    <m/>
    <m/>
    <m/>
    <s v="Hybrid"/>
    <s v="Kelompok Kecil (Hanya 1 tim/ maksimal 5 orang)"/>
    <s v="Pelatihan Keterampilan dan Simulasi Lapangan (Simulasi lomba dan Praktik )"/>
    <s v="Pembinaan bebas (fleksibel) dan tidak terafiliasi dengan organisasi formal kampus, bisa diikuti tanpa komitmen keanggotaan atau struktur formal"/>
    <s v="2 kali"/>
    <n v="2"/>
    <s v="Kakak tingkat/Alumni yang pernah menjuarai di bidang lomba yang sama, Dosen yang ahli di bidang terkait"/>
    <s v="Rutin memberi arahan dan masukan, Santai dan dapat menjadi teman mengobrol di luar konteks kegiatan/lomba, Memberi contoh ril terkait materi lomba"/>
    <s v="Tidak"/>
    <m/>
    <m/>
    <m/>
    <m/>
    <m/>
    <m/>
    <m/>
    <m/>
    <m/>
    <m/>
    <m/>
    <m/>
    <m/>
    <m/>
    <m/>
    <m/>
    <m/>
    <m/>
    <n v="3"/>
    <s v="Feed instagram, Video pencerdasan, Melalui jaringan komunikasi di grup angkatan"/>
    <s v="Ya"/>
    <n v="4"/>
    <n v="2"/>
    <n v="4"/>
    <s v="Proses pengajuan atau pencairan fasilitas terlalu panjang dan rumit, Akses fasilitas memerlukan banyak persyaratan atau dokumen administratif, Waktu proses lama"/>
    <s v="Kecepatan proses verifikasi dan persetujuan, Sosialisasi program ke mahasiswa"/>
    <s v="Administrasinya saja yang perlu disederhanakan. Kalau ini sudah dibenahin, sudah perfect kokk."/>
    <m/>
    <m/>
    <m/>
    <m/>
    <m/>
    <m/>
  </r>
  <r>
    <d v="2025-11-12T17:41:05"/>
    <s v=""/>
    <n v="0"/>
    <s v="Athaya Firdaus "/>
    <s v="M0401251010"/>
    <x v="1"/>
    <s v="Laki - Laki"/>
    <x v="0"/>
    <s v="085755020831"/>
    <s v="Asrama"/>
    <s v="SNBP"/>
    <s v="Tidak satupun dari komunitas di atas pernah/sedang saya ikut."/>
    <m/>
    <s v="Ya"/>
    <m/>
    <s v="Hambatan sosial (sulit membangun relasi dengan orang baru)"/>
    <s v="Tidak"/>
    <m/>
    <m/>
    <s v="Suka menekuni hobi hingga bisa ikut kompetisi atau memiliki niat berkompetisi dan punya capaian tertentu"/>
    <s v="Ya"/>
    <m/>
    <m/>
    <m/>
    <m/>
    <m/>
    <m/>
    <m/>
    <m/>
    <m/>
    <m/>
    <m/>
    <m/>
    <m/>
    <m/>
    <s v="Sains dan Penalaran"/>
    <m/>
    <m/>
    <m/>
    <m/>
    <m/>
    <m/>
    <m/>
    <m/>
    <m/>
    <m/>
    <m/>
    <m/>
    <m/>
    <m/>
    <m/>
    <m/>
    <m/>
    <m/>
    <m/>
    <m/>
    <m/>
    <m/>
    <m/>
    <m/>
    <m/>
    <m/>
    <m/>
    <m/>
    <m/>
    <m/>
    <s v="Sejak SMA"/>
    <s v="Ya"/>
    <m/>
    <m/>
    <s v="Konsistensi dalam mengembangkan ide &amp; membaca sumber terpercaya"/>
    <s v="Menang dalam kompetisi (LKTI, esai, riset, Olimpiade, debat ilmiah)"/>
    <s v="Kelas atau kegiatan untuk latihan pemecahan masalah berbasis kasus nyata"/>
    <m/>
    <m/>
    <m/>
    <m/>
    <m/>
    <m/>
    <m/>
    <s v="Hybrid"/>
    <s v="Kelompok Kecil (Hanya 1 tim/ maksimal 5 orang)"/>
    <s v="Penguatan Relasi dan Keakraban(Sikrab/makrab, diskusi santai, dan studi kasus)"/>
    <s v="Pembinaan bebas (fleksibel) dan tidak terafiliasi dengan organisasi formal kampus, bisa diikuti tanpa komitmen keanggotaan atau struktur formal"/>
    <s v="2 kali"/>
    <n v="4"/>
    <s v="Kakak tingkat/Alumni yang pernah menjuarai di bidang lomba yang sama"/>
    <s v="Fleksibel dan terbuka diskusi, Memberi motivasi dan semangat, Sering berbagi pengalaman pribadi"/>
    <s v="Tidak"/>
    <m/>
    <m/>
    <m/>
    <m/>
    <m/>
    <m/>
    <m/>
    <m/>
    <m/>
    <m/>
    <m/>
    <m/>
    <m/>
    <m/>
    <m/>
    <m/>
    <m/>
    <m/>
    <n v="2"/>
    <s v="Video tren, Poster, Video pencerdasan"/>
    <s v="Tidak"/>
    <m/>
    <m/>
    <m/>
    <m/>
    <s v="Kecepatan proses verifikasi dan persetujuan"/>
    <s v="semoga lebih baik"/>
    <m/>
    <m/>
    <m/>
    <m/>
    <m/>
    <m/>
  </r>
  <r>
    <d v="2025-11-14T17:00:39"/>
    <s v="faatihaadzkia@apps.ipb.ac.id"/>
    <n v="0"/>
    <s v="Faatiha Adzkia Syaamil"/>
    <s v="F2401241100"/>
    <x v="2"/>
    <s v="Perempuan"/>
    <x v="1"/>
    <s v="083874652220"/>
    <s v="Kos/Kontrakan"/>
    <s v="PIN/ Talenta IPB"/>
    <s v="Himapin"/>
    <s v="Hafidz Quran"/>
    <s v="Ya"/>
    <s v="Tidak bergantung pada orang lain dan dapat mengelola emosi dengan baik saat menghadapi kesulitan"/>
    <s v="Memilih Ya"/>
    <s v="Ya"/>
    <s v="Cenderung intorvert dan merasa lebih produktif dalam kesendirian dan ketenangan"/>
    <s v="Memilih Ya"/>
    <s v="The Active Organizer: Terbukti Berogranisasi dan Berkembang (Aktif dalam organisasi kemahasiswaan (BEM, HIMPRO, UKM) dan Berbagai Kepanitian"/>
    <s v="Ya"/>
    <s v="Mencapai Target Pribadi dan Membangun Rasa Percaya Diri"/>
    <s v="Memilih Ya"/>
    <m/>
    <m/>
    <m/>
    <m/>
    <m/>
    <m/>
    <m/>
    <m/>
    <m/>
    <m/>
    <m/>
    <m/>
    <s v="Belum tahu minat"/>
    <s v="Ya"/>
    <s v="Ya"/>
    <s v="Tidak"/>
    <s v="Tidak"/>
    <s v="Ya"/>
    <s v="Tidak"/>
    <s v="Tidak"/>
    <s v="Tidak"/>
    <m/>
    <m/>
    <m/>
    <m/>
    <m/>
    <m/>
    <m/>
    <m/>
    <m/>
    <m/>
    <m/>
    <m/>
    <m/>
    <m/>
    <m/>
    <m/>
    <m/>
    <m/>
    <m/>
    <m/>
    <m/>
    <m/>
    <m/>
    <m/>
    <m/>
    <m/>
    <m/>
    <m/>
    <m/>
    <m/>
    <m/>
    <m/>
    <m/>
    <m/>
    <m/>
    <m/>
    <s v="Hybrid"/>
    <s v="Kelompok Kecil (Hanya 1 tim/ maksimal 5 orang)"/>
    <s v="Pelatihan Keterampilan dan Simulasi Lapangan (Simulasi lomba dan Praktik )"/>
    <s v="Pembinaan terstruktur (terikat) dan diselenggarakan oleh pihak yang berafiliasi dengan organisasi formal kampus , dan biasanya memerlukan komitmen keikutsertaan"/>
    <s v="2 kali"/>
    <n v="4"/>
    <s v="Kakak tingkat/Alumni yang pernah menjuarai di bidang lomba yang sama, Seangkatan (teman sebaya) yang sudah lebih berpengalaman"/>
    <s v="Rutin memberi arahan dan masukan, Fleksibel dan terbuka diskusi, Memberi contoh ril terkait materi lomba"/>
    <s v="Ya"/>
    <s v="Fasilitasi Insentif Prestasi Kompetitif Mandiri"/>
    <n v="2"/>
    <n v="2"/>
    <n v="3"/>
    <n v="4"/>
    <n v="4"/>
    <n v="2"/>
    <n v="3"/>
    <n v="4"/>
    <n v="2"/>
    <n v="3"/>
    <n v="4"/>
    <n v="2"/>
    <n v="3"/>
    <n v="4"/>
    <n v="4"/>
    <n v="4"/>
    <s v="Website IPB Prestasi, Postingan instagram @ipbprestasi, Postingan instagram BEM KM/BEM Fakultas/Himpunan"/>
    <n v="3"/>
    <s v="Video pencerdasan, Melalui jaringan komunikasi di grup angkatan, Channel di WA atau IG"/>
    <s v="Tidak"/>
    <m/>
    <m/>
    <m/>
    <m/>
    <s v="Sosialisasi program ke mahasiswa"/>
    <s v="-"/>
    <m/>
    <m/>
    <m/>
    <m/>
    <m/>
    <m/>
  </r>
  <r>
    <d v="2025-11-14T17:57:23"/>
    <s v="naifanep4naifa@apps.ipb.ac.id"/>
    <n v="0"/>
    <s v="Naifa fazira"/>
    <s v="I2401251101"/>
    <x v="3"/>
    <s v="Perempuan"/>
    <x v="0"/>
    <s v="085212459003"/>
    <s v="Asrama"/>
    <s v="PIN/ Talenta IPB"/>
    <s v="Tidak satupun dari komunitas di atas pernah/sedang saya ikut."/>
    <s v="Hafidz Quran"/>
    <s v="Tidak"/>
    <s v="Memilih Tidak"/>
    <s v="Sifat Pemalu dan Rasa Canggung (Merasa tidak nyaman menjadi pusat perhatian dan butuh waktu lama untuk membuka diri)"/>
    <s v="Tidak"/>
    <s v="Memilih Tidak"/>
    <s v="Merasa lebih termotivasi dan bersemangat ketika bekerja dalam berkelompok, energi dan antusiasme rekan kerja dapat salaing menular secara positif"/>
    <s v="Belum tahu yang mana"/>
    <s v="Ya"/>
    <s v="Mencapai Target Pribadi dan Membangun Rasa Percaya Diri"/>
    <s v="Memilih Ya"/>
    <m/>
    <m/>
    <m/>
    <m/>
    <m/>
    <m/>
    <m/>
    <m/>
    <m/>
    <m/>
    <m/>
    <m/>
    <s v="Pengabdian"/>
    <s v="Tidak"/>
    <s v="Ya"/>
    <s v="Tidak"/>
    <s v="Tidak"/>
    <s v="Tidak"/>
    <s v="Ya"/>
    <s v="Ya"/>
    <s v="Tidak"/>
    <m/>
    <m/>
    <m/>
    <m/>
    <m/>
    <m/>
    <m/>
    <m/>
    <m/>
    <m/>
    <m/>
    <m/>
    <m/>
    <m/>
    <s v="Sejak SMA"/>
    <s v="Tidak"/>
    <m/>
    <s v="belum pernah mencoba dan belum ada peluang"/>
    <s v="Tidak"/>
    <s v="Pemahaman terhadap isu sosial, budaya, dan kondisi lokal"/>
    <s v="Belum punya target, masih ingin belajar dan ikut serta"/>
    <s v="Akses program pengabdian dengan pendampingan yang baik"/>
    <s v="belum "/>
    <s v="Tidak"/>
    <m/>
    <s v="masih belum sepinter itu"/>
    <s v="Kemampuan penalaran logis dan analisis argumen"/>
    <s v="Menang dalam kompetisi (LKTI, esai, riset, Olimpiade, debat ilmiah)"/>
    <s v="Program pelatihan penalaran logis &amp; critical thinking"/>
    <m/>
    <m/>
    <m/>
    <m/>
    <m/>
    <m/>
    <m/>
    <s v="Daring"/>
    <s v="Kelompok Kecil (Hanya 1 tim/ maksimal 5 orang)"/>
    <s v="Pendampingan dan Pembimbingan Personal (Mentoring/coaching dengan dosen/alumni/tokoh inspiratif)"/>
    <s v="Pembinaan bebas (fleksibel) dan tidak terafiliasi dengan organisasi formal kampus, bisa diikuti tanpa komitmen keanggotaan atau struktur formal"/>
    <s v="2 kali"/>
    <n v="4"/>
    <s v="Kakak tingkat/Alumni yang pernah menjuarai di bidang lomba yang sama"/>
    <s v="Memberi motivasi dan semangat, Santai dan dapat menjadi teman mengobrol di luar konteks kegiatan/lomba, Memberi contoh ril terkait materi lomba"/>
    <s v="Tidak"/>
    <s v="Fasilitasi Pendanaan Kompetitif Mandiri Nasional &amp; International"/>
    <n v="2"/>
    <n v="2"/>
    <n v="4"/>
    <n v="4"/>
    <n v="3"/>
    <n v="2"/>
    <n v="4"/>
    <n v="4"/>
    <n v="3"/>
    <n v="4"/>
    <n v="4"/>
    <n v="4"/>
    <n v="4"/>
    <n v="4"/>
    <n v="4"/>
    <n v="4"/>
    <s v="Website IPB Prestasi, Informasi yang disebarkan melalui WhatsApp di grup angkatan, Teman"/>
    <n v="4"/>
    <s v="Video tren, Instastory, Melalui jaringan komunikasi di grup angkatan"/>
    <s v="Tidak"/>
    <m/>
    <m/>
    <m/>
    <m/>
    <s v="Sosialisasi program ke mahasiswa"/>
    <s v="keren"/>
    <m/>
    <m/>
    <m/>
    <m/>
    <m/>
    <m/>
  </r>
  <r>
    <d v="2025-11-16T08:30:49"/>
    <s v="22restiana@apps.ipb.ac.id"/>
    <n v="0"/>
    <s v="Restiana Wulandari"/>
    <s v="A2401251187"/>
    <x v="4"/>
    <s v="Perempuan"/>
    <x v="0"/>
    <s v="085232685812"/>
    <s v="Asrama"/>
    <s v="PIN/ Talenta IPB"/>
    <s v="Himapin"/>
    <s v="Golden Ticket (FALP, Talent Scouting, dsb.)"/>
    <s v="Ya"/>
    <s v="Fleksibel dan Mudah Belajar (Dapat menyesuaikan perilaku dengan situasi dan cepat mempelajari aturan, budaya dan kebiasaan baru)"/>
    <s v="Memilih Ya"/>
    <s v="Ya"/>
    <s v="Cenderung intorvert dan merasa lebih produktif dalam kesendirian dan ketenangan"/>
    <s v="Memilih Ya"/>
    <s v="Belum tahu yang mana"/>
    <s v="Ya"/>
    <s v="Merasakan Pengalaman seru dan Dinamika yang Menantang"/>
    <s v="Memilih Ya"/>
    <m/>
    <m/>
    <m/>
    <m/>
    <m/>
    <m/>
    <m/>
    <m/>
    <m/>
    <m/>
    <m/>
    <m/>
    <s v="Sains dan Penalaran"/>
    <s v="Tidak"/>
    <s v="Ya"/>
    <s v="Tidak"/>
    <s v="Ya"/>
    <s v="Tidak"/>
    <s v="Tidak"/>
    <s v="Tidak"/>
    <s v="Tidak"/>
    <m/>
    <m/>
    <m/>
    <m/>
    <m/>
    <m/>
    <m/>
    <m/>
    <m/>
    <m/>
    <m/>
    <m/>
    <m/>
    <m/>
    <m/>
    <m/>
    <m/>
    <m/>
    <m/>
    <m/>
    <m/>
    <m/>
    <s v="Sejak SMA"/>
    <s v="Tidak"/>
    <m/>
    <m/>
    <s v="Konsistensi dalam mengembangkan ide &amp; membaca sumber terpercaya"/>
    <s v="Menang dalam kompetisi (LKTI, esai, riset, Olimpiade, debat ilmiah)"/>
    <s v="Program pelatihan penalaran logis &amp; critical thinking"/>
    <m/>
    <m/>
    <m/>
    <m/>
    <m/>
    <m/>
    <m/>
    <s v="Hybrid"/>
    <s v="1 on 1 atau Personal (hanya diri sendiri)"/>
    <s v="Pendampingan dan Pembimbingan Personal (Mentoring/coaching dengan dosen/alumni/tokoh inspiratif)"/>
    <s v="Pembinaan bebas (fleksibel) dan tidak terafiliasi dengan organisasi formal kampus, bisa diikuti tanpa komitmen keanggotaan atau struktur formal"/>
    <s v="4 kali"/>
    <n v="4"/>
    <s v="Kakak tingkat/Alumni yang pernah menjuarai di bidang lomba yang sama, Mentor profesional/eksternal dari luar kampus di bidang terkait"/>
    <s v="Rutin memberi arahan dan masukan, Sering berbagi pengalaman pribadi, Santai dan dapat menjadi teman mengobrol di luar konteks kegiatan/lomba"/>
    <s v="Ya"/>
    <s v="Fasilitasi Pendanaan Kompetitif Mandiri Nasional &amp; International, Fasilitasi Pembinaan Kompetitif Mandiri Nasional &amp; International, Fasilitasi Insentif Prestasi Kompetitif Mandiri"/>
    <n v="3"/>
    <n v="3"/>
    <n v="4"/>
    <n v="4"/>
    <n v="4"/>
    <n v="2"/>
    <n v="3"/>
    <n v="4"/>
    <n v="3"/>
    <n v="4"/>
    <n v="4"/>
    <n v="2"/>
    <n v="3"/>
    <n v="4"/>
    <n v="4"/>
    <n v="1"/>
    <s v="Postingan instagram @ipbprestasi"/>
    <n v="4"/>
    <s v="Feed instagram, Video pencerdasan, Channel di WA atau IG"/>
    <s v="Tidak"/>
    <m/>
    <m/>
    <m/>
    <m/>
    <s v="Sosialisasi program ke mahasiswa"/>
    <s v="informasi lomba diposting di jauh jauh hari sebelum deadline, karena seringnya @ipbprestasi memberi informasi mengenai lomba itu h-3 deadline pengumpulan karya."/>
    <m/>
    <m/>
    <m/>
    <m/>
    <m/>
    <m/>
  </r>
  <r>
    <d v="2025-11-17T10:43:16"/>
    <s v="hanssuciani@apps.ipb.ac.id"/>
    <n v="0"/>
    <s v="Hana Suciani "/>
    <s v="A1401251086 "/>
    <x v="4"/>
    <s v="Perempuan"/>
    <x v="0"/>
    <s v="081554659960"/>
    <s v="Asrama"/>
    <s v="PIN/ Talenta IPB"/>
    <s v="Tidak satupun dari komunitas di atas pernah/sedang saya ikut."/>
    <s v="Golden Ticket (FALP, Talent Scouting, dsb.)"/>
    <s v="Ya"/>
    <s v="Fleksibel dan Mudah Belajar (Dapat menyesuaikan perilaku dengan situasi dan cepat mempelajari aturan, budaya dan kebiasaan baru)"/>
    <s v="Memilih Ya"/>
    <s v="Ya"/>
    <s v="Fokus dan Kualitas kerja lebih terjaga (bebas dari gangguan dan interupsi rekan kerja dan dapat berkonsentrasi penuh untuk menghasilkan hasil terbaik)"/>
    <s v="Memilih Ya"/>
    <s v="The Focused Enthusiast: Meraih Prestasi di Dua Dunia (Fokus pada akademik, namun tetap menekuni hobi/minat secara serius hingga level kompetitif)"/>
    <s v="Ya"/>
    <s v="Sebagai Tolak Ukur dan Pembuktian Kemampuan Diri"/>
    <s v="Memilih Ya"/>
    <m/>
    <m/>
    <m/>
    <m/>
    <m/>
    <m/>
    <m/>
    <m/>
    <m/>
    <m/>
    <m/>
    <m/>
    <s v="Sains dan Penalaran"/>
    <s v="Tidak"/>
    <s v="Ya"/>
    <s v="Ya"/>
    <s v="Tidak"/>
    <s v="Ya"/>
    <s v="Tidak"/>
    <s v="Ya"/>
    <s v="Tidak"/>
    <m/>
    <m/>
    <m/>
    <m/>
    <m/>
    <m/>
    <m/>
    <m/>
    <m/>
    <m/>
    <m/>
    <m/>
    <m/>
    <m/>
    <m/>
    <m/>
    <m/>
    <m/>
    <m/>
    <m/>
    <m/>
    <m/>
    <s v="Sejak SMA"/>
    <s v="Ya"/>
    <s v="Penghargaan terhormat-Nasional-OPI-2024_x000a_Finalis-Nasional-Esai-2025"/>
    <m/>
    <s v="Konsistensi dalam mengembangkan ide &amp; membaca sumber terpercaya"/>
    <s v="Menang dalam kompetisi (LKTI, esai, riset, Olimpiade, debat ilmiah)"/>
    <s v="Pengecekan Esai/KTI sebelum dikirimkan "/>
    <m/>
    <m/>
    <m/>
    <m/>
    <m/>
    <m/>
    <m/>
    <s v="Hybrid"/>
    <s v="1 on 1 atau Personal (hanya diri sendiri)"/>
    <s v="Pendampingan dan Pembimbingan Personal (Mentoring/coaching dengan dosen/alumni/tokoh inspiratif)"/>
    <s v="Pembinaan bebas (fleksibel) dan tidak terafiliasi dengan organisasi formal kampus, bisa diikuti tanpa komitmen keanggotaan atau struktur formal"/>
    <s v="4 kali"/>
    <n v="4"/>
    <s v="Kakak tingkat/Alumni yang pernah menjuarai di bidang lomba yang sama, Dosen yang ahli di bidang terkait"/>
    <s v="Rutin memberi arahan dan masukan, Fleksibel dan terbuka diskusi, Tegas, disiplin, tapi suportif"/>
    <s v="Ya"/>
    <s v="Fasilitasi Pendanaan Kompetitif Mandiri Nasional &amp; International"/>
    <n v="4"/>
    <n v="4"/>
    <n v="4"/>
    <n v="4"/>
    <n v="4"/>
    <n v="4"/>
    <n v="4"/>
    <n v="4"/>
    <n v="4"/>
    <n v="4"/>
    <n v="4"/>
    <n v="4"/>
    <n v="4"/>
    <n v="3"/>
    <n v="4"/>
    <n v="4"/>
    <s v="Website IPB Prestasi, Dosen, Teman"/>
    <n v="4"/>
    <s v="Feed instagram, Sosialisasi secara offline, Channel di WA atau IG"/>
    <s v="Tidak"/>
    <m/>
    <m/>
    <m/>
    <m/>
    <s v="Kecepatan proses verifikasi dan persetujuan, Sosialisasi program ke mahasiswa, Respons terhadap pertanyaan/ keluhan"/>
    <s v="Saran saya yaitu pengajuan surat izin tidak mengikuti kuliah dan sedang mengikuti perlombaan sebaiknya segara untuk dikirimkan kepada mahasiswa agar mendapatkan perizinan dari dosen kuliah🙏🏻 "/>
    <m/>
    <m/>
    <m/>
    <m/>
    <m/>
    <m/>
  </r>
  <r>
    <m/>
    <m/>
    <m/>
    <m/>
    <m/>
    <x v="5"/>
    <m/>
    <x v="2"/>
    <m/>
    <m/>
    <m/>
    <m/>
    <m/>
    <m/>
    <m/>
    <m/>
    <m/>
    <m/>
    <m/>
    <m/>
    <m/>
    <m/>
    <m/>
    <m/>
    <m/>
    <m/>
    <m/>
    <m/>
    <m/>
    <m/>
    <m/>
    <m/>
    <m/>
    <m/>
    <m/>
    <m/>
    <m/>
    <m/>
    <m/>
    <m/>
    <m/>
    <m/>
    <m/>
    <m/>
    <m/>
    <m/>
    <m/>
    <m/>
    <m/>
    <m/>
    <m/>
    <m/>
    <m/>
    <m/>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 Table 2" cacheId="5" applyNumberFormats="0" applyBorderFormats="0" applyFontFormats="0" applyPatternFormats="0" applyAlignmentFormats="0" applyWidthHeightFormats="0" dataCaption="" updatedVersion="8" compact="0" compactData="0">
  <location ref="A1:H6" firstHeaderRow="1" firstDataRow="2" firstDataCol="1"/>
  <pivotFields count="122">
    <pivotField name="Timestamp" compact="0" numFmtId="164" outline="0" multipleItemSelectionAllowed="1" showAll="0"/>
    <pivotField name="Email Address" compact="0" outline="0" multipleItemSelectionAllowed="1" showAll="0"/>
    <pivotField name="Score" compact="0" outline="0" multipleItemSelectionAllowed="1" showAll="0"/>
    <pivotField name="Nama Lengkap" compact="0" outline="0" multipleItemSelectionAllowed="1" showAll="0"/>
    <pivotField name="NIM" dataField="1" compact="0" outline="0" multipleItemSelectionAllowed="1" showAll="0"/>
    <pivotField name="Fakultas " axis="axisCol" compact="0" outline="0" multipleItemSelectionAllowed="1" showAll="0" sortType="ascending">
      <items count="7">
        <item x="4"/>
        <item x="0"/>
        <item x="2"/>
        <item x="3"/>
        <item x="1"/>
        <item x="5"/>
        <item t="default"/>
      </items>
    </pivotField>
    <pivotField name="Jenis Kelamin" compact="0" outline="0" multipleItemSelectionAllowed="1" showAll="0"/>
    <pivotField name="Angkatan" axis="axisRow" compact="0" outline="0" multipleItemSelectionAllowed="1" showAll="0" sortType="ascending">
      <items count="4">
        <item x="1"/>
        <item x="0"/>
        <item x="2"/>
        <item t="default"/>
      </items>
    </pivotField>
    <pivotField name="Nomor Whatsapp" compact="0" outline="0" multipleItemSelectionAllowed="1" showAll="0"/>
    <pivotField name="Tempat Tinggal saat Kuliah" compact="0" outline="0" multipleItemSelectionAllowed="1" showAll="0"/>
    <pivotField name="Jalur Masuk" compact="0" outline="0" multipleItemSelectionAllowed="1" showAll="0"/>
    <pivotField name="Manakah komunitas yang pernah atau sedang Anda ikuti di bawah inil?" compact="0" outline="0" multipleItemSelectionAllowed="1" showAll="0"/>
    <pivotField name="Pada jalur PIN atau Talenta, Anda masuk sebagai kategori apa?" compact="0" outline="0" multipleItemSelectionAllowed="1" showAll="0"/>
    <pivotField name="Apakah kamu adalah orang yang cepat beradaptasi dengan lingkungan baru?" compact="0" outline="0" multipleItemSelectionAllowed="1" showAll="0"/>
    <pivotField name="Jika &quot;Ya&quot;, apa alasan utama kamu merasa cepat beradaptasi? " compact="0" outline="0" multipleItemSelectionAllowed="1" showAll="0"/>
    <pivotField name="Jika menjawab &quot;Tidak&quot;, apa alasan utama kamu merasa tidak cepat beradaptasi? " compact="0" outline="0" multipleItemSelectionAllowed="1" showAll="0"/>
    <pivotField name="Apakah kamu lebih suka bekerja sendirian dibandingkan melakukan kerja sama tim?" compact="0" outline="0" multipleItemSelectionAllowed="1" showAll="0"/>
    <pivotField name="Jika &quot;Ya&quot;, Apa alasan kamu lebih memilih untuk bekerja sendirian atau independen? " compact="0" outline="0" multipleItemSelectionAllowed="1" showAll="0"/>
    <pivotField name="Jika &quot;Tidak&quot;,  Apa alasan kamu lebih memilih untuk bekerja sama atau berkelompok? " compact="0" outline="0" multipleItemSelectionAllowed="1" showAll="0"/>
    <pivotField name="Selama berkuliah manakah yang menggambarkan kamu? " compact="0" outline="0" multipleItemSelectionAllowed="1" showAll="0"/>
    <pivotField name="Apakah kamu memiliki minat untuk mengikuti lomba/kompetisi saat berkuliah di IPB?" compact="0" outline="0" multipleItemSelectionAllowed="1" showAll="0"/>
    <pivotField name="Jika &quot;Ya&quot; Apa yang menjadi alasan utama kamu memiliki minat untuk berkompetisi? " compact="0" outline="0" multipleItemSelectionAllowed="1" showAll="0"/>
    <pivotField name="Jika &quot;Tidak&quot; Apa yang menjadi alasan utama kamu tidak memiliki minat berkompetisi? " compact="0" outline="0" multipleItemSelectionAllowed="1" showAll="0"/>
    <pivotField name="Kegiatan kampus seperti apa yang paling seru dan nggak bikin kamu cepat bosan? " compact="0" outline="0" multipleItemSelectionAllowed="1" showAll="0"/>
    <pivotField name="Menurut kamu, skill apa yang paling penting buat dikuasai mahasiswa?" compact="0" outline="0" multipleItemSelectionAllowed="1" showAll="0"/>
    <pivotField name="Biasanya kamu ngapain kalau lihat ada masalah dalam kelompok belajar atau organisasi?" compact="0" outline="0" multipleItemSelectionAllowed="1" showAll="0"/>
    <pivotField name="Silahkan pilih pernyataan mana yang kamu sukai dan ingin kamu pelajari [Suka menganalisis data dan memecahkan masalah kompleks]" compact="0" outline="0" multipleItemSelectionAllowed="1" showAll="0"/>
    <pivotField name="Silahkan pilih pernyataan mana yang kamu sukai dan ingin kamu pelajari [Ingin belajar menulis paper ilmiah atau presentasi riset]" compact="0" outline="0" multipleItemSelectionAllowed="1" showAll="0"/>
    <pivotField name="Silahkan pilih pernyataan mana yang kamu sukai dan ingin kamu pelajari [Tertarik dengan studi kasus bisnis atau teknologi terbaru]" compact="0" outline="0" multipleItemSelectionAllowed="1" showAll="0"/>
    <pivotField name="Silahkan pilih pernyataan mana yang kamu sukai dan ingin kamu pelajari [Ingin belajar coding, AI, atau cybersecurity lebih dalam]" compact="0" outline="0" multipleItemSelectionAllowed="1" showAll="0"/>
    <pivotField name="Silahkan pilih pernyataan mana yang kamu sukai dan ingin kamu pelajari [Suka mengembangkan ide bisnis dan strategi pemasaran]" compact="0" outline="0" multipleItemSelectionAllowed="1" showAll="0"/>
    <pivotField name="Silahkan pilih pernyataan mana yang kamu sukai dan ingin kamu pelajari [Ingin belajar pitching ide ke investor atau membuat business plan]" compact="0" outline="0" multipleItemSelectionAllowed="1" showAll="0"/>
    <pivotField name="Silahkan pilih pernyataan mana yang kamu sukai dan ingin kamu pelajari [Ingin belajar menyusun argumen yang solid dan persuasif]" compact="0" outline="0" multipleItemSelectionAllowed="1" showAll="0"/>
    <pivotField name="Silahkan pilih pernyataan mana yang kamu sukai dan ingin kamu pelajari [Senang diskusi isu sosial, politik, atau ekonomi]" compact="0" outline="0" multipleItemSelectionAllowed="1" showAll="0"/>
    <pivotField name="Preferensi Minat Prestasi Mahasiswa, manakah dari 5 kelompok prestasi yang kamu minati? " compact="0" outline="0" multipleItemSelectionAllowed="1" showAll="0"/>
    <pivotField name="Bidang mana yang paling mencerminkan minat dan bakat kamu?  " compact="0" outline="0" multipleItemSelectionAllowed="1" showAl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Kapan pertama kali kamu mulai tertarik pada debat dan diplomasi?" compact="0" outline="0" multipleItemSelectionAllowed="1" showAll="0"/>
    <pivotField name="Apakah kamu pernah mengikuti kompetisi debat dan diplomasi?" compact="0" outline="0" multipleItemSelectionAllowed="1" showAll="0"/>
    <pivotField name="Jika &quot;Ya&quot;, Sebutkan kompetisi yang pernah kamu ikuti dengan capaian prestasi  (sebtukan 3 capaian tertinggi) " compact="0" outline="0" multipleItemSelectionAllowed="1" showAll="0"/>
    <pivotField name="Jika &quot;Tidak&quot;, tuliskan alasan kamu belum pernah ikut kompetisi " compact="0" outline="0" multipleItemSelectionAllowed="1" showAll="0"/>
    <pivotField name="Menurutmu, kemampuan apa yang masih perlu ditingkatkan apabila kamu mendapatkan pembinaan pada bidang debat dan diplomasi? " compact="0" outline="0" multipleItemSelectionAllowed="1" showAll="0"/>
    <pivotField name="Apa target kamu dalam ketika memulai menekuni bidang ini? " compact="0" outline="0" multipleItemSelectionAllowed="1" showAll="0"/>
    <pivotField name="Menurut kamu, Fasilitas apa yang perlu ditingkatkan oleh IPB untuk mendukung perkembangan kamu dalam bidang ini." compact="0" outline="0" multipleItemSelectionAllowed="1" showAll="0"/>
    <pivotField name="Kapan pertama kali kamu mulai tertarik pada bidang ICT-Robotika? " compact="0" outline="0" multipleItemSelectionAllowed="1" showAll="0"/>
    <pivotField name="Apakah Anda pernah mengikuti kompetisi ICT-Robotika?" compact="0" outline="0" multipleItemSelectionAllowed="1" showAll="0"/>
    <pivotField compact="0" outline="0" showAll="0" includeNewItemsInFilter="1"/>
    <pivotField compact="0" outline="0" showAll="0" includeNewItemsInFilter="1"/>
    <pivotField name="Menurutmu, kemampuan apa yang masih perlu ditingkatkan apabila kamu mendapatkan pembinaan pada bidang ini? " compact="0" outline="0" multipleItemSelectionAllowed="1" showAll="0"/>
    <pivotField compact="0" outline="0" showAll="0" includeNewItemsInFilter="1"/>
    <pivotField name="Menurut kamu, Fasilitas apa yang perlu ditingkatkan oleh IPB untuk mendukung perkembangan kamu dalam bidang ini" compact="0" outline="0" multipleItemSelectionAllowed="1" showAll="0"/>
    <pivotField name="Kapan pertama kali kamu mulai tertarik pada pengabdian?" compact="0" outline="0" multipleItemSelectionAllowed="1" showAll="0"/>
    <pivotField name="Apakah kamu pernah mengikuti kompetisi di bidang pengabdian?" compact="0" outline="0" multipleItemSelectionAllowed="1" showAll="0"/>
    <pivotField compact="0" outline="0" showAll="0" includeNewItemsInFilter="1"/>
    <pivotField name="Jika &quot;Tidak&quot;, tuliskan alasan kamu belum pernah ikut kompetisi" compact="0" outline="0" multipleItemSelectionAllowed="1" showAll="0"/>
    <pivotField name="Apakah kamu memiliki prestasi di bidang pengabdian?" compact="0" outline="0" multipleItemSelectionAllowed="1" showAll="0"/>
    <pivotField compact="0" outline="0" showAll="0" includeNewItemsInFilter="1"/>
    <pivotField compact="0" outline="0" showAll="0" includeNewItemsInFilter="1"/>
    <pivotField compact="0" outline="0" showAll="0" includeNewItemsInFilter="1"/>
    <pivotField name="Kapan pertama kali kamu mulai tertarik pada sains dan penalaran?" compact="0" outline="0" multipleItemSelectionAllowed="1" showAll="0"/>
    <pivotField name="Apakah kamu pernah mengikuti kompetisi sains dan penalaran?" compact="0" outline="0" multipleItemSelectionAllowed="1" showAll="0"/>
    <pivotField compact="0" outline="0" showAll="0" includeNewItemsInFilter="1"/>
    <pivotField name="jika &quot;tidak&quot;, tuliskan alasan kamu belum pernah ikut kompetisi 2" compact="0" outline="0" multipleItemSelectionAllowed="1" showAll="0"/>
    <pivotField compact="0" outline="0" showAll="0" includeNewItemsInFilter="1"/>
    <pivotField compact="0" outline="0" showAll="0" includeNewItemsInFilter="1"/>
    <pivotField compact="0" outline="0" showAll="0" includeNewItemsInFilter="1"/>
    <pivotField name="Kapan pertama kali kamu mulai tertarik pada bisnis?" compact="0" outline="0" multipleItemSelectionAllowed="1" showAll="0"/>
    <pivotField name="Apakah kamu pernah mengikuti kompetisi bisnis?" compact="0" outline="0" multipleItemSelectionAllowed="1" showAl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nurut anda, bagaimana pelaksanaan yang paling sesuai untuk pelaksanaan pembinaan?" compact="0" outline="0" multipleItemSelectionAllowed="1" showAll="0"/>
    <pivotField name="Dalam mengikuti pembinaan kompetisi, Anda lebih nyaman dalam pembinaan yang dilakukan dengan kelompok seperti apa?" compact="0" outline="0" multipleItemSelectionAllowed="1" showAll="0"/>
    <pivotField name="Bagaimana aktivitas pembinaan yang paling sesuai untuk diterapkan sebagai pembinaan?" compact="0" outline="0" multipleItemSelectionAllowed="1" showAll="0"/>
    <pivotField name="Dalam memilih program pembinaan kompetisi. Program mana yang lebih sesuai dengan preferensi Anda?" compact="0" outline="0" multipleItemSelectionAllowed="1" showAll="0"/>
    <pivotField name="Menurut Anda, berapa jumlah pelaksanaan pembinaan yang ideal dalam rentang waktu satu bulan ?" compact="0" outline="0" multipleItemSelectionAllowed="1" showAll="0"/>
    <pivotField name="Menurut Anda, seberapa penting peran mentor/pembimbing dalam perlombaan/ kegiatan yang anda ikuti?" compact="0" outline="0" multipleItemSelectionAllowed="1" showAll="0"/>
    <pivotField name="Bagaimana tipe mentor/pembimbing yang Anda harapkan?" compact="0" outline="0" multipleItemSelectionAllowed="1" showAll="0"/>
    <pivotField name="Bagaimana kriteria mentor yang “ideal” menurut Anda?" compact="0" outline="0" multipleItemSelectionAllowed="1" showAll="0"/>
    <pivotField name="Apakah Anda pernah sekadar mengetahui salah satu dari program fasilitasi kompetisi yang telah dijelaskan di atas?" compact="0" outline="0" multipleItemSelectionAllowed="1" showAll="0"/>
    <pivotField name="Manakah Program Fasilitasi Kompetitif dari IPB Prestasi yang Anda tahu?" compact="0" outline="0" multipleItemSelectionAllowed="1" showAll="0"/>
    <pivotField name="Saya mengetahui dengan jelas kriteria penilaian kelayakan permohonan pendanaan Fasilitasi Kompetitif tingkat Nasional dan Internasional." compact="0" outline="0" multipleItemSelectionAllowed="1" showAll="0"/>
    <pivotField name="Saya mengetahui dengan jelas Petunjuk Teknis Pengajuan Pendanaan Fasilitasi Kompetitif tingkat Nasional dan Internasional." compact="0" outline="0" multipleItemSelectionAllowed="1" showAll="0"/>
    <pivotField name="Seberapa puas Anda terhadap Fasilitasi Pendanaan Kompetisi Mandiri Nasional Internasional?" compact="0" outline="0" multipleItemSelectionAllowed="1" showAll="0"/>
    <pivotField name="Seberapa besar pengaruh Fasilitasi Pendanaan Kompetisi Mandiri Nasional terhadap keberhasilan lomba?" compact="0" outline="0" multipleItemSelectionAllowed="1" showAll="0"/>
    <pivotField name="Seberapa mengetahui dengan jelas proses pengajuan permohonan dana dapat dilakukan dengan mengajukan melalui fitur fasilitasi aktivitas pada studentportal.ipb.ac.id?" compact="0" outline="0" multipleItemSelectionAllowed="1" showAll="0"/>
    <pivotField name="Saya mengetahui dengan jelas Teknis Pengajuan Administrasi Kegiatan Nasional dan Internasional." compact="0" outline="0" multipleItemSelectionAllowed="1" showAll="0"/>
    <pivotField name="Seberapa puas Anda terhadap Fasilitasi Administrasi Kegiatan Nasional dan Internasional?" compact="0" outline="0" multipleItemSelectionAllowed="1" showAll="0"/>
    <pivotField name="Seberapa besar pengaruh Fasilitasi Administrasi Kegiatan Nasional dan Internasional terhadap keberhasilan lomba?" compact="0" outline="0" multipleItemSelectionAllowed="1" showAll="0"/>
    <pivotField name="Saya mengetahui dengan jelas Teknis Pengajuan Pembinaan Kegiatan Nasional dan Internasional." compact="0" outline="0" multipleItemSelectionAllowed="1" showAll="0"/>
    <pivotField name="Seberapa puas Anda terhadap Fasilitasi Pembinaan Kegiatan Nasional dan Internasional?" compact="0" outline="0" multipleItemSelectionAllowed="1" showAll="0"/>
    <pivotField name="Seberapa besar pengaruh Fasilitasi Pembinaan Kegiatan Nasional dan Internasional terhadap keberhasilan lomba?" compact="0" outline="0" multipleItemSelectionAllowed="1" showAll="0"/>
    <pivotField name="Saya mengetahui dengan jelas Teknis Pengajuan Insentif Prestasi Kegiatan Nasional dan Internasional." compact="0" outline="0" multipleItemSelectionAllowed="1" showAll="0"/>
    <pivotField name="Seberapa puas Anda terhadap Fasilitasi Insentif Prestasi Kompetisi Mandiri?" compact="0" outline="0" multipleItemSelectionAllowed="1" showAll="0"/>
    <pivotField name="Seberapa besar pengaruh Fasilitasi Insentif Prestasi Kompetisi Mandiri terhadap keberhasilan lomba?" compact="0" outline="0" multipleItemSelectionAllowed="1" showAll="0"/>
    <pivotField name="Seberapa mengetahui dengan jelas proses klaim insentif dapat dilakukan dengan memasukan aktivitas kompetisi pada studentportal.ipb.ac.id?" compact="0" outline="0" multipleItemSelectionAllowed="1" showAll="0"/>
    <pivotField name="Seberapa mengetahui dengan jelas pengisian SKPI dilakukan secara otomatis ketika mahasiswa memasukan kegiatannya kedalam fitur aktivitas di studentportal.ipb.ac.id? " compact="0" outline="0" multipleItemSelectionAllowed="1" showAll="0"/>
    <pivotField name="Dari mana anda mengetahui adanya Fasilitasi Kompetitif dari IPB Prestasi?" compact="0" outline="0" multipleItemSelectionAllowed="1" showAll="0"/>
    <pivotField name="Menurut anda, seberapa efektif promosi Fasilitasi Kompetitif dari IPB Prestasi untuk menjangkau semua mahasiswa?" compact="0" outline="0" multipleItemSelectionAllowed="1" showAll="0"/>
    <pivotField name="Jenis media promosi dan informasi seperti apa yang anda sukai?" compact="0" outline="0" multipleItemSelectionAllowed="1" showAll="0"/>
    <pivotField name="Apakah Anda pernah menggunakan Fasilitasi Kompetitif IPB Prestasi?" compact="0" outline="0" multipleItemSelectionAllowed="1" showAll="0"/>
    <pivotField name="Bagaimana kualitas layanan saat Anda mengajukan pertanyaan atau melaporkan kendala?" compact="0" outline="0" multipleItemSelectionAllowed="1" showAll="0"/>
    <pivotField name="Bagaimana kemudahan mekanisme/alur pengajuan Fasilitasi?" compact="0" outline="0" multipleItemSelectionAllowed="1" showAll="0"/>
    <pivotField name="Bagaimana kecepatan verifikasi sampai dengan penyetujuan pengajuan? " compact="0" outline="0" multipleItemSelectionAllowed="1" showAll="0"/>
    <pivotField name="Kendala utama dalam mengakses/menjalani Fasilitasi Kompetitif IPB" compact="0" outline="0" multipleItemSelectionAllowed="1" showAll="0"/>
    <pivotField name="Menurut anda apa evaluasi untuk Fasilitas Kompetitif IPB?" compact="0" outline="0" multipleItemSelectionAllowed="1" showAll="0"/>
    <pivotField name="Apakah ada saran yang ingin Anda berikan untuk meningkatkan Fasilitasi Kompetitif IPB Prestasi? Apabila ada, tuliskan saran Anda!." compact="0" outline="0" multipleItemSelectionAllowed="1" showAll="0"/>
    <pivotField name="Column 117" compact="0" outline="0" multipleItemSelectionAllowed="1" showAll="0"/>
    <pivotField name="Column 118" compact="0" outline="0" multipleItemSelectionAllowed="1" showAll="0"/>
    <pivotField name="Column 119" compact="0" outline="0" multipleItemSelectionAllowed="1" showAll="0"/>
    <pivotField name="Column 120" compact="0" outline="0" multipleItemSelectionAllowed="1" showAll="0"/>
    <pivotField name="Column 121" compact="0" outline="0" multipleItemSelectionAllowed="1" showAll="0"/>
    <pivotField name="Column 122" compact="0" outline="0" multipleItemSelectionAllowed="1" showAll="0"/>
  </pivotFields>
  <rowFields count="1">
    <field x="7"/>
  </rowFields>
  <rowItems count="4">
    <i>
      <x/>
    </i>
    <i>
      <x v="1"/>
    </i>
    <i>
      <x v="2"/>
    </i>
    <i t="grand">
      <x/>
    </i>
  </rowItems>
  <colFields count="1">
    <field x="5"/>
  </colFields>
  <colItems count="7">
    <i>
      <x/>
    </i>
    <i>
      <x v="1"/>
    </i>
    <i>
      <x v="2"/>
    </i>
    <i>
      <x v="3"/>
    </i>
    <i>
      <x v="4"/>
    </i>
    <i>
      <x v="5"/>
    </i>
    <i t="grand">
      <x/>
    </i>
  </colItems>
  <dataFields count="1">
    <dataField name="COUNTA of NIM" fld="4"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DK189">
  <tableColumns count="115">
    <tableColumn id="1" xr3:uid="{00000000-0010-0000-0000-000001000000}" name="Timestamp"/>
    <tableColumn id="2" xr3:uid="{00000000-0010-0000-0000-000002000000}" name="Email Address"/>
    <tableColumn id="3" xr3:uid="{00000000-0010-0000-0000-000003000000}" name="Score"/>
    <tableColumn id="4" xr3:uid="{00000000-0010-0000-0000-000004000000}" name="Nama Lengkap"/>
    <tableColumn id="5" xr3:uid="{00000000-0010-0000-0000-000005000000}" name="NIM"/>
    <tableColumn id="6" xr3:uid="{00000000-0010-0000-0000-000006000000}" name="Jenis Kelamin"/>
    <tableColumn id="7" xr3:uid="{00000000-0010-0000-0000-000007000000}" name="Angkatan"/>
    <tableColumn id="8" xr3:uid="{00000000-0010-0000-0000-000008000000}" name="Nomor Whatsapp"/>
    <tableColumn id="9" xr3:uid="{00000000-0010-0000-0000-000009000000}" name="Tempat Tinggal saat Kuliah"/>
    <tableColumn id="10" xr3:uid="{00000000-0010-0000-0000-00000A000000}" name="Jalur Masuk"/>
    <tableColumn id="11" xr3:uid="{00000000-0010-0000-0000-00000B000000}" name="Manakah komunitas yang pernah atau sedang Anda ikuti di bawah inil?"/>
    <tableColumn id="12" xr3:uid="{00000000-0010-0000-0000-00000C000000}" name="Pada jalur PIN atau Talenta, Anda masuk sebagai kategori apa?"/>
    <tableColumn id="13" xr3:uid="{00000000-0010-0000-0000-00000D000000}" name="Apakah kamu adalah orang yang cepat beradaptasi dengan lingkungan baru?"/>
    <tableColumn id="14" xr3:uid="{00000000-0010-0000-0000-00000E000000}" name="Jika &quot;Ya&quot;, apa alasan utama kamu merasa cepat beradaptasi? "/>
    <tableColumn id="15" xr3:uid="{00000000-0010-0000-0000-00000F000000}" name="Jika menjawab &quot;Tidak&quot;, apa alasan utama kamu merasa tidak cepat beradaptasi? "/>
    <tableColumn id="16" xr3:uid="{00000000-0010-0000-0000-000010000000}" name="Apakah kamu lebih suka bekerja sendirian dibandingkan melakukan kerja sama tim?"/>
    <tableColumn id="17" xr3:uid="{00000000-0010-0000-0000-000011000000}" name="Jika &quot;Ya&quot;, Apa alasan kamu lebih memilih untuk bekerja sendirian atau independen? "/>
    <tableColumn id="18" xr3:uid="{00000000-0010-0000-0000-000012000000}" name="Jika &quot;Tidak&quot;,  Apa alasan kamu lebih memilih untuk bekerja sama atau berkelompok? "/>
    <tableColumn id="19" xr3:uid="{00000000-0010-0000-0000-000013000000}" name="Selama berkuliah manakah yang menggambarkan kamu? "/>
    <tableColumn id="20" xr3:uid="{00000000-0010-0000-0000-000014000000}" name="Apakah kamu memiliki minat untuk mengikuti lomba/kompetisi saat berkuliah di IPB?"/>
    <tableColumn id="21" xr3:uid="{00000000-0010-0000-0000-000015000000}" name="Jika &quot;Ya&quot; Apa yang menjadi alasan utama kamu memiliki minat untuk berkompetisi? "/>
    <tableColumn id="22" xr3:uid="{00000000-0010-0000-0000-000016000000}" name="Jika &quot;Tidak&quot; Apa yang menjadi alasan utama kamu tidak memiliki minat berkompetisi? "/>
    <tableColumn id="23" xr3:uid="{00000000-0010-0000-0000-000017000000}" name="Kegiatan kampus seperti apa yang paling seru dan nggak bikin kamu cepat bosan? "/>
    <tableColumn id="24" xr3:uid="{00000000-0010-0000-0000-000018000000}" name="Menurut kamu, skill apa yang paling penting buat dikuasai mahasiswa?"/>
    <tableColumn id="25" xr3:uid="{00000000-0010-0000-0000-000019000000}" name="Biasanya kamu ngapain kalau lihat ada masalah dalam kelompok belajar atau organisasi?"/>
    <tableColumn id="26" xr3:uid="{00000000-0010-0000-0000-00001A000000}" name="Silahkan pilih pernyataan mana yang kamu sukai dan ingin kamu pelajari [Suka menganalisis data dan memecahkan masalah kompleks]"/>
    <tableColumn id="27" xr3:uid="{00000000-0010-0000-0000-00001B000000}" name="Silahkan pilih pernyataan mana yang kamu sukai dan ingin kamu pelajari [Ingin belajar menulis paper ilmiah atau presentasi riset]"/>
    <tableColumn id="28" xr3:uid="{00000000-0010-0000-0000-00001C000000}" name="Silahkan pilih pernyataan mana yang kamu sukai dan ingin kamu pelajari [Tertarik dengan studi kasus bisnis atau teknologi terbaru]"/>
    <tableColumn id="29" xr3:uid="{00000000-0010-0000-0000-00001D000000}" name="Silahkan pilih pernyataan mana yang kamu sukai dan ingin kamu pelajari [Ingin belajar coding, AI, atau cybersecurity lebih dalam]"/>
    <tableColumn id="30" xr3:uid="{00000000-0010-0000-0000-00001E000000}" name="Silahkan pilih pernyataan mana yang kamu sukai dan ingin kamu pelajari [Suka mengembangkan ide bisnis dan strategi pemasaran]"/>
    <tableColumn id="31" xr3:uid="{00000000-0010-0000-0000-00001F000000}" name="Silahkan pilih pernyataan mana yang kamu sukai dan ingin kamu pelajari [Ingin belajar pitching ide ke investor atau membuat business plan]"/>
    <tableColumn id="32" xr3:uid="{00000000-0010-0000-0000-000020000000}" name="Silahkan pilih pernyataan mana yang kamu sukai dan ingin kamu pelajari [Ingin belajar menyusun argumen yang solid dan persuasif]"/>
    <tableColumn id="33" xr3:uid="{00000000-0010-0000-0000-000021000000}" name="Silahkan pilih pernyataan mana yang kamu sukai dan ingin kamu pelajari [Senang diskusi isu sosial, politik, atau ekonomi]"/>
    <tableColumn id="34" xr3:uid="{00000000-0010-0000-0000-000022000000}" name="Preferensi Minat Prestasi Mahasiswa, manakah dari 5 kelompok prestasi yang kamu minati? "/>
    <tableColumn id="35" xr3:uid="{00000000-0010-0000-0000-000023000000}" name="Bidang mana yang paling mencerminkan minat dan bakat kamu?  "/>
    <tableColumn id="36" xr3:uid="{00000000-0010-0000-0000-000024000000}" name="Silahkan pilih pernyataan mana yang kamu sukai dan ingin kamu pelajari [Suka menganalisis data dan memecahkan masalah kompleks] 2"/>
    <tableColumn id="37" xr3:uid="{00000000-0010-0000-0000-000025000000}" name="Silahkan pilih pernyataan mana yang kamu sukai dan ingin kamu pelajari [Ingin belajar menulis paper ilmiah atau presentasi riset] 2"/>
    <tableColumn id="38" xr3:uid="{00000000-0010-0000-0000-000026000000}" name="Silahkan pilih pernyataan mana yang kamu sukai dan ingin kamu pelajari [Tertarik dengan studi kasus bisnis atau teknologi terbaru] 2"/>
    <tableColumn id="39" xr3:uid="{00000000-0010-0000-0000-000027000000}" name="Silahkan pilih pernyataan mana yang kamu sukai dan ingin kamu pelajari [Ingin belajar coding, AI, atau cybersecurity lebih dalam] 2"/>
    <tableColumn id="40" xr3:uid="{00000000-0010-0000-0000-000028000000}" name="Silahkan pilih pernyataan mana yang kamu sukai dan ingin kamu pelajari [Suka mengembangkan ide bisnis dan strategi pemasaran] 2"/>
    <tableColumn id="41" xr3:uid="{00000000-0010-0000-0000-000029000000}" name="Silahkan pilih pernyataan mana yang kamu sukai dan ingin kamu pelajari [Ingin belajar pitching ide ke investor atau membuat business plan] 2"/>
    <tableColumn id="42" xr3:uid="{00000000-0010-0000-0000-00002A000000}" name="Silahkan pilih pernyataan mana yang kamu sukai dan ingin kamu pelajari [Ingin belajar menyusun argumen yang solid dan persuasif] 2"/>
    <tableColumn id="43" xr3:uid="{00000000-0010-0000-0000-00002B000000}" name="Silahkan pilih pernyataan mana yang kamu sukai dan ingin kamu pelajari [Senang diskusi isu sosial, politik, atau ekonomi] 2"/>
    <tableColumn id="44" xr3:uid="{00000000-0010-0000-0000-00002C000000}" name="Kapan pertama kali kamu mulai tertarik pada debat dan diplomasi?"/>
    <tableColumn id="45" xr3:uid="{00000000-0010-0000-0000-00002D000000}" name="Apakah kamu pernah mengikuti kompetisi debat dan diplomasi?"/>
    <tableColumn id="46" xr3:uid="{00000000-0010-0000-0000-00002E000000}" name="Jika &quot;Ya&quot;, Sebutkan kompetisi yang pernah kamu ikuti dengan capaian prestasi  (sebtukan 3 capaian tertinggi) "/>
    <tableColumn id="47" xr3:uid="{00000000-0010-0000-0000-00002F000000}" name="Jika &quot;Tidak&quot;, tuliskan alasan kamu belum pernah ikut kompetisi "/>
    <tableColumn id="48" xr3:uid="{00000000-0010-0000-0000-000030000000}" name="Menurutmu, kemampuan apa yang masih perlu ditingkatkan apabila kamu mendapatkan pembinaan pada bidang debat dan diplomasi? "/>
    <tableColumn id="49" xr3:uid="{00000000-0010-0000-0000-000031000000}" name="Apa target kamu dalam ketika memulai menekuni bidang ini? "/>
    <tableColumn id="50" xr3:uid="{00000000-0010-0000-0000-000032000000}" name="Menurut kamu, Fasilitas apa yang perlu ditingkatkan oleh IPB untuk mendukung perkembangan kamu dalam bidang ini."/>
    <tableColumn id="51" xr3:uid="{00000000-0010-0000-0000-000033000000}" name="Kapan pertama kali kamu mulai tertarik pada bidang ICT-Robotika? "/>
    <tableColumn id="52" xr3:uid="{00000000-0010-0000-0000-000034000000}" name="Apakah Anda pernah mengikuti kompetisi ICT-Robotika?"/>
    <tableColumn id="53" xr3:uid="{00000000-0010-0000-0000-000035000000}" name="Jika &quot;Ya&quot;, Sebutkan kompetisi yang pernah kamu ikuti dengan capaian prestasi  (sebtukan 3 capaian tertinggi)  2"/>
    <tableColumn id="54" xr3:uid="{00000000-0010-0000-0000-000036000000}" name="Jika &quot;Tidak&quot;, tuliskan alasan kamu belum pernah ikut kompetisi  2"/>
    <tableColumn id="55" xr3:uid="{00000000-0010-0000-0000-000037000000}" name="Menurutmu, kemampuan apa yang masih perlu ditingkatkan apabila kamu mendapatkan pembinaan pada bidang ini? "/>
    <tableColumn id="56" xr3:uid="{00000000-0010-0000-0000-000038000000}" name="Apa target kamu dalam ketika memulai menekuni bidang ini?  2"/>
    <tableColumn id="57" xr3:uid="{00000000-0010-0000-0000-000039000000}" name="Menurut kamu, Fasilitas apa yang perlu ditingkatkan oleh IPB untuk mendukung perkembangan kamu dalam bidang ini"/>
    <tableColumn id="58" xr3:uid="{00000000-0010-0000-0000-00003A000000}" name="Kapan pertama kali kamu mulai tertarik pada pengabdian?"/>
    <tableColumn id="59" xr3:uid="{00000000-0010-0000-0000-00003B000000}" name="Apakah kamu pernah mengikuti kompetisi di bidang pengabdian?"/>
    <tableColumn id="60" xr3:uid="{00000000-0010-0000-0000-00003C000000}" name="Jika &quot;Ya&quot;, Sebutkan kompetisi yang pernah kamu ikuti dengan capaian prestasi  (sebtukan 3 capaian tertinggi)  3"/>
    <tableColumn id="61" xr3:uid="{00000000-0010-0000-0000-00003D000000}" name="Jika &quot;Tidak&quot;, tuliskan alasan kamu belum pernah ikut kompetisi"/>
    <tableColumn id="62" xr3:uid="{00000000-0010-0000-0000-00003E000000}" name="Apakah kamu memiliki prestasi di bidang pengabdian?"/>
    <tableColumn id="63" xr3:uid="{00000000-0010-0000-0000-00003F000000}" name="Menurutmu, kemampuan apa yang masih perlu ditingkatkan apabila kamu mendapatkan pembinaan pada bidang ini?  2"/>
    <tableColumn id="64" xr3:uid="{00000000-0010-0000-0000-000040000000}" name="Apa target kamu dalam ketika memulai menekuni bidang ini?  3"/>
    <tableColumn id="65" xr3:uid="{00000000-0010-0000-0000-000041000000}" name="Menurut kamu, Fasilitas apa yang perlu ditingkatkan oleh IPB untuk mendukung perkembangan kamu dalam bidang ini 2"/>
    <tableColumn id="66" xr3:uid="{00000000-0010-0000-0000-000042000000}" name="Kapan pertama kali kamu mulai tertarik pada sains dan penalaran?"/>
    <tableColumn id="67" xr3:uid="{00000000-0010-0000-0000-000043000000}" name="Apakah kamu pernah mengikuti kompetisi sains dan penalaran?"/>
    <tableColumn id="68" xr3:uid="{00000000-0010-0000-0000-000044000000}" name="Jika &quot;Ya&quot;, Sebutkan kompetisi yang pernah kamu ikuti dengan capaian prestasi  (sebtukan 3 capaian tertinggi)  4"/>
    <tableColumn id="69" xr3:uid="{00000000-0010-0000-0000-000045000000}" name="Jika &quot;Tidak&quot;, tuliskan alasan kamu belum pernah ikut kompetisi 2"/>
    <tableColumn id="70" xr3:uid="{00000000-0010-0000-0000-000046000000}" name="Menurutmu, kemampuan apa yang masih perlu ditingkatkan apabila kamu mendapatkan pembinaan pada bidang ini?  3"/>
    <tableColumn id="71" xr3:uid="{00000000-0010-0000-0000-000047000000}" name="Apa target kamu dalam ketika memulai menekuni bidang ini?  4"/>
    <tableColumn id="72" xr3:uid="{00000000-0010-0000-0000-000048000000}" name="Menurut kamu, Fasilitas apa yang perlu ditingkatkan oleh IPB untuk mendukung perkembangan kamu dalam bidang ini 3"/>
    <tableColumn id="73" xr3:uid="{00000000-0010-0000-0000-000049000000}" name="Kapan pertama kali kamu mulai tertarik pada bisnis?"/>
    <tableColumn id="74" xr3:uid="{00000000-0010-0000-0000-00004A000000}" name="Apakah kamu pernah mengikuti kompetisi bisnis?"/>
    <tableColumn id="75" xr3:uid="{00000000-0010-0000-0000-00004B000000}" name="Jika &quot;Ya&quot;, Sebutkan kompetisi yang pernah kamu ikuti dengan capaian prestasi  (sebtukan 3 capaian tertinggi)  5"/>
    <tableColumn id="76" xr3:uid="{00000000-0010-0000-0000-00004C000000}" name="Jika &quot;Tidak&quot;, tuliskan alasan kamu belum pernah ikut kompetisi 3"/>
    <tableColumn id="77" xr3:uid="{00000000-0010-0000-0000-00004D000000}" name="Menurutmu, kemampuan apa yang masih perlu ditingkatkan apabila kamu mendapatkan pembinaan pada bidang ini?  4"/>
    <tableColumn id="78" xr3:uid="{00000000-0010-0000-0000-00004E000000}" name="Apa target kamu dalam ketika memulai menekuni bidang ini?  5"/>
    <tableColumn id="79" xr3:uid="{00000000-0010-0000-0000-00004F000000}" name="Menurut kamu, Fasilitas apa yang perlu ditingkatkan oleh IPB untuk mendukung perkembangan kamu dalam bidang ini 4"/>
    <tableColumn id="80" xr3:uid="{00000000-0010-0000-0000-000050000000}" name="Menurut anda, bagaimana pelaksanaan yang paling sesuai untuk pelaksanaan pembinaan?"/>
    <tableColumn id="81" xr3:uid="{00000000-0010-0000-0000-000051000000}" name="Dalam mengikuti pembinaan kompetisi, Anda lebih nyaman dalam pembinaan yang dilakukan dengan kelompok seperti apa?"/>
    <tableColumn id="82" xr3:uid="{00000000-0010-0000-0000-000052000000}" name="Bagaimana aktivitas pembinaan yang paling sesuai untuk diterapkan sebagai pembinaan?"/>
    <tableColumn id="83" xr3:uid="{00000000-0010-0000-0000-000053000000}" name="Dalam memilih program pembinaan kompetisi. Program mana yang lebih sesuai dengan preferensi Anda?"/>
    <tableColumn id="84" xr3:uid="{00000000-0010-0000-0000-000054000000}" name="Menurut Anda, berapa jumlah pelaksanaan pembinaan yang ideal dalam rentang waktu satu bulan ?"/>
    <tableColumn id="85" xr3:uid="{00000000-0010-0000-0000-000055000000}" name="Menurut Anda, seberapa penting peran mentor/pembimbing dalam perlombaan/ kegiatan yang anda ikuti?"/>
    <tableColumn id="86" xr3:uid="{00000000-0010-0000-0000-000056000000}" name="Bagaimana tipe mentor/pembimbing yang Anda harapkan?"/>
    <tableColumn id="87" xr3:uid="{00000000-0010-0000-0000-000057000000}" name="Bagaimana kriteria mentor yang “ideal” menurut Anda?"/>
    <tableColumn id="88" xr3:uid="{00000000-0010-0000-0000-000058000000}" name="Apakah Anda pernah sekadar mengetahui salah satu dari program fasilitasi kompetisi yang telah dijelaskan di atas?"/>
    <tableColumn id="89" xr3:uid="{00000000-0010-0000-0000-000059000000}" name="Manakah Program Fasilitasi Kompetitif dari IPB Prestasi yang Anda tahu?"/>
    <tableColumn id="90" xr3:uid="{00000000-0010-0000-0000-00005A000000}" name="Saya mengetahui dengan jelas kriteria penilaian kelayakan permohonan pendanaan Fasilitasi Kompetitif tingkat Nasional dan Internasional."/>
    <tableColumn id="91" xr3:uid="{00000000-0010-0000-0000-00005B000000}" name="Saya mengetahui dengan jelas Petunjuk Teknis Pengajuan Pendanaan Fasilitasi Kompetitif tingkat Nasional dan Internasional."/>
    <tableColumn id="92" xr3:uid="{00000000-0010-0000-0000-00005C000000}" name="Seberapa puas Anda terhadap Fasilitasi Pendanaan Kompetisi Mandiri Nasional Internasional?"/>
    <tableColumn id="93" xr3:uid="{00000000-0010-0000-0000-00005D000000}" name="Seberapa besar pengaruh Fasilitasi Pendanaan Kompetisi Mandiri Nasional terhadap keberhasilan lomba?"/>
    <tableColumn id="94" xr3:uid="{00000000-0010-0000-0000-00005E000000}" name="Seberapa mengetahui dengan jelas proses pengajuan permohonan dana dapat dilakukan dengan mengajukan melalui fitur fasilitasi aktivitas pada studentportal.ipb.ac.id?"/>
    <tableColumn id="95" xr3:uid="{00000000-0010-0000-0000-00005F000000}" name="Saya mengetahui dengan jelas Teknis Pengajuan Administrasi Kegiatan Nasional dan Internasional."/>
    <tableColumn id="96" xr3:uid="{00000000-0010-0000-0000-000060000000}" name="Seberapa puas Anda terhadap Fasilitasi Administrasi Kegiatan Nasional dan Internasional?"/>
    <tableColumn id="97" xr3:uid="{00000000-0010-0000-0000-000061000000}" name="Seberapa besar pengaruh Fasilitasi Administrasi Kegiatan Nasional dan Internasional terhadap keberhasilan lomba?"/>
    <tableColumn id="98" xr3:uid="{00000000-0010-0000-0000-000062000000}" name="Saya mengetahui dengan jelas Teknis Pengajuan Pembinaan Kegiatan Nasional dan Internasional."/>
    <tableColumn id="99" xr3:uid="{00000000-0010-0000-0000-000063000000}" name="Seberapa puas Anda terhadap Fasilitasi Pembinaan Kegiatan Nasional dan Internasional?"/>
    <tableColumn id="100" xr3:uid="{00000000-0010-0000-0000-000064000000}" name="Seberapa besar pengaruh Fasilitasi Pembinaan Kegiatan Nasional dan Internasional terhadap keberhasilan lomba?"/>
    <tableColumn id="101" xr3:uid="{00000000-0010-0000-0000-000065000000}" name="Saya mengetahui dengan jelas Teknis Pengajuan Insentif Prestasi Kegiatan Nasional dan Internasional."/>
    <tableColumn id="102" xr3:uid="{00000000-0010-0000-0000-000066000000}" name="Seberapa puas Anda terhadap Fasilitasi Insentif Prestasi Kompetisi Mandiri?"/>
    <tableColumn id="103" xr3:uid="{00000000-0010-0000-0000-000067000000}" name="Seberapa besar pengaruh Fasilitasi Insentif Prestasi Kompetisi Mandiri terhadap keberhasilan lomba?"/>
    <tableColumn id="104" xr3:uid="{00000000-0010-0000-0000-000068000000}" name="Seberapa mengetahui dengan jelas proses klaim insentif dapat dilakukan dengan memasukan aktivitas kompetisi pada studentportal.ipb.ac.id?"/>
    <tableColumn id="105" xr3:uid="{00000000-0010-0000-0000-000069000000}" name="Seberapa mengetahui dengan jelas pengisian SKPI dilakukan secara otomatis ketika mahasiswa memasukan kegiatannya kedalam fitur aktivitas di studentportal.ipb.ac.id? "/>
    <tableColumn id="106" xr3:uid="{00000000-0010-0000-0000-00006A000000}" name="Dari mana anda mengetahui adanya Fasilitasi Kompetitif dari IPB Prestasi?"/>
    <tableColumn id="107" xr3:uid="{00000000-0010-0000-0000-00006B000000}" name="Menurut anda, seberapa efektif promosi Fasilitasi Kompetitif dari IPB Prestasi untuk menjangkau semua mahasiswa?"/>
    <tableColumn id="108" xr3:uid="{00000000-0010-0000-0000-00006C000000}" name="Jenis media promosi dan informasi seperti apa yang anda sukai?"/>
    <tableColumn id="109" xr3:uid="{00000000-0010-0000-0000-00006D000000}" name="Apakah Anda pernah menggunakan Fasilitasi Kompetitif IPB Prestasi?"/>
    <tableColumn id="110" xr3:uid="{00000000-0010-0000-0000-00006E000000}" name="Bagaimana kualitas layanan saat Anda mengajukan pertanyaan atau melaporkan kendala?"/>
    <tableColumn id="111" xr3:uid="{00000000-0010-0000-0000-00006F000000}" name="Bagaimana kemudahan mekanisme/alur pengajuan Fasilitasi?"/>
    <tableColumn id="112" xr3:uid="{00000000-0010-0000-0000-000070000000}" name="Bagaimana kecepatan verifikasi sampai dengan penyetujuan pengajuan? "/>
    <tableColumn id="113" xr3:uid="{00000000-0010-0000-0000-000071000000}" name="Kendala utama dalam mengakses/menjalani Fasilitasi Kompetitif IPB"/>
    <tableColumn id="114" xr3:uid="{00000000-0010-0000-0000-000072000000}" name="Menurut anda apa evaluasi untuk Fasilitas Kompetitif IPB?"/>
    <tableColumn id="115" xr3:uid="{00000000-0010-0000-0000-000073000000}" name="Apakah ada saran yang ingin Anda berikan untuk meningkatkan Fasilitasi Kompetitif IPB Prestasi? Apabila ada, tuliskan saran Anda!."/>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_Responses_2" displayName="Form_Responses_2" ref="A1:DR7">
  <tableColumns count="122">
    <tableColumn id="1" xr3:uid="{00000000-0010-0000-0100-000001000000}" name="Timestamp"/>
    <tableColumn id="2" xr3:uid="{00000000-0010-0000-0100-000002000000}" name="Email Address"/>
    <tableColumn id="3" xr3:uid="{00000000-0010-0000-0100-000003000000}" name="Score"/>
    <tableColumn id="4" xr3:uid="{00000000-0010-0000-0100-000004000000}" name="Nama Lengkap"/>
    <tableColumn id="5" xr3:uid="{00000000-0010-0000-0100-000005000000}" name="NIM"/>
    <tableColumn id="6" xr3:uid="{00000000-0010-0000-0100-000006000000}" name="Fakultas "/>
    <tableColumn id="7" xr3:uid="{00000000-0010-0000-0100-000007000000}" name="Jenis Kelamin"/>
    <tableColumn id="8" xr3:uid="{00000000-0010-0000-0100-000008000000}" name="Angkatan"/>
    <tableColumn id="9" xr3:uid="{00000000-0010-0000-0100-000009000000}" name="Nomor Whatsapp"/>
    <tableColumn id="10" xr3:uid="{00000000-0010-0000-0100-00000A000000}" name="Tempat Tinggal saat Kuliah"/>
    <tableColumn id="11" xr3:uid="{00000000-0010-0000-0100-00000B000000}" name="Jalur Masuk"/>
    <tableColumn id="12" xr3:uid="{00000000-0010-0000-0100-00000C000000}" name="Manakah komunitas yang pernah atau sedang Anda ikuti di bawah inil?"/>
    <tableColumn id="13" xr3:uid="{00000000-0010-0000-0100-00000D000000}" name="Pada jalur PIN atau Talenta, Anda masuk sebagai kategori apa?"/>
    <tableColumn id="14" xr3:uid="{00000000-0010-0000-0100-00000E000000}" name="Apakah kamu adalah orang yang cepat beradaptasi dengan lingkungan baru?"/>
    <tableColumn id="15" xr3:uid="{00000000-0010-0000-0100-00000F000000}" name="Jika &quot;Ya&quot;, apa alasan utama kamu merasa cepat beradaptasi? "/>
    <tableColumn id="16" xr3:uid="{00000000-0010-0000-0100-000010000000}" name="Jika menjawab &quot;Tidak&quot;, apa alasan utama kamu merasa tidak cepat beradaptasi? "/>
    <tableColumn id="17" xr3:uid="{00000000-0010-0000-0100-000011000000}" name="Apakah kamu lebih suka bekerja sendirian dibandingkan melakukan kerja sama tim?"/>
    <tableColumn id="18" xr3:uid="{00000000-0010-0000-0100-000012000000}" name="Jika &quot;Ya&quot;, Apa alasan kamu lebih memilih untuk bekerja sendirian atau independen? "/>
    <tableColumn id="19" xr3:uid="{00000000-0010-0000-0100-000013000000}" name="Jika &quot;Tidak&quot;,  Apa alasan kamu lebih memilih untuk bekerja sama atau berkelompok? "/>
    <tableColumn id="20" xr3:uid="{00000000-0010-0000-0100-000014000000}" name="Selama berkuliah manakah yang menggambarkan kamu? "/>
    <tableColumn id="21" xr3:uid="{00000000-0010-0000-0100-000015000000}" name="Apakah kamu memiliki minat untuk mengikuti lomba/kompetisi saat berkuliah di IPB?"/>
    <tableColumn id="22" xr3:uid="{00000000-0010-0000-0100-000016000000}" name="Jika &quot;Ya&quot; Apa yang menjadi alasan utama kamu memiliki minat untuk berkompetisi? "/>
    <tableColumn id="23" xr3:uid="{00000000-0010-0000-0100-000017000000}" name="Jika &quot;Tidak&quot; Apa yang menjadi alasan utama kamu tidak memiliki minat berkompetisi? "/>
    <tableColumn id="24" xr3:uid="{00000000-0010-0000-0100-000018000000}" name="Kegiatan kampus seperti apa yang paling seru dan nggak bikin kamu cepat bosan? "/>
    <tableColumn id="25" xr3:uid="{00000000-0010-0000-0100-000019000000}" name="Menurut kamu, skill apa yang paling penting buat dikuasai mahasiswa?"/>
    <tableColumn id="26" xr3:uid="{00000000-0010-0000-0100-00001A000000}" name="Biasanya kamu ngapain kalau lihat ada masalah dalam kelompok belajar atau organisasi?"/>
    <tableColumn id="27" xr3:uid="{00000000-0010-0000-0100-00001B000000}" name="Silahkan pilih pernyataan mana yang kamu sukai dan ingin kamu pelajari [Suka menganalisis data dan memecahkan masalah kompleks]"/>
    <tableColumn id="28" xr3:uid="{00000000-0010-0000-0100-00001C000000}" name="Silahkan pilih pernyataan mana yang kamu sukai dan ingin kamu pelajari [Ingin belajar menulis paper ilmiah atau presentasi riset]"/>
    <tableColumn id="29" xr3:uid="{00000000-0010-0000-0100-00001D000000}" name="Silahkan pilih pernyataan mana yang kamu sukai dan ingin kamu pelajari [Tertarik dengan studi kasus bisnis atau teknologi terbaru]"/>
    <tableColumn id="30" xr3:uid="{00000000-0010-0000-0100-00001E000000}" name="Silahkan pilih pernyataan mana yang kamu sukai dan ingin kamu pelajari [Ingin belajar coding, AI, atau cybersecurity lebih dalam]"/>
    <tableColumn id="31" xr3:uid="{00000000-0010-0000-0100-00001F000000}" name="Silahkan pilih pernyataan mana yang kamu sukai dan ingin kamu pelajari [Suka mengembangkan ide bisnis dan strategi pemasaran]"/>
    <tableColumn id="32" xr3:uid="{00000000-0010-0000-0100-000020000000}" name="Silahkan pilih pernyataan mana yang kamu sukai dan ingin kamu pelajari [Ingin belajar pitching ide ke investor atau membuat business plan]"/>
    <tableColumn id="33" xr3:uid="{00000000-0010-0000-0100-000021000000}" name="Silahkan pilih pernyataan mana yang kamu sukai dan ingin kamu pelajari [Ingin belajar menyusun argumen yang solid dan persuasif]"/>
    <tableColumn id="34" xr3:uid="{00000000-0010-0000-0100-000022000000}" name="Silahkan pilih pernyataan mana yang kamu sukai dan ingin kamu pelajari [Senang diskusi isu sosial, politik, atau ekonomi]"/>
    <tableColumn id="35" xr3:uid="{00000000-0010-0000-0100-000023000000}" name="Preferensi Minat Prestasi Mahasiswa, manakah dari 5 kelompok prestasi yang kamu minati? "/>
    <tableColumn id="36" xr3:uid="{00000000-0010-0000-0100-000024000000}" name="Bidang mana yang paling mencerminkan minat dan bakat kamu?  "/>
    <tableColumn id="37" xr3:uid="{00000000-0010-0000-0100-000025000000}" name="Silahkan pilih pernyataan mana yang kamu sukai dan ingin kamu pelajari [Suka menganalisis data dan memecahkan masalah kompleks] 2"/>
    <tableColumn id="38" xr3:uid="{00000000-0010-0000-0100-000026000000}" name="Silahkan pilih pernyataan mana yang kamu sukai dan ingin kamu pelajari [Ingin belajar menulis paper ilmiah atau presentasi riset] 2"/>
    <tableColumn id="39" xr3:uid="{00000000-0010-0000-0100-000027000000}" name="Silahkan pilih pernyataan mana yang kamu sukai dan ingin kamu pelajari [Tertarik dengan studi kasus bisnis atau teknologi terbaru] 2"/>
    <tableColumn id="40" xr3:uid="{00000000-0010-0000-0100-000028000000}" name="Silahkan pilih pernyataan mana yang kamu sukai dan ingin kamu pelajari [Ingin belajar coding, AI, atau cybersecurity lebih dalam] 2"/>
    <tableColumn id="41" xr3:uid="{00000000-0010-0000-0100-000029000000}" name="Silahkan pilih pernyataan mana yang kamu sukai dan ingin kamu pelajari [Suka mengembangkan ide bisnis dan strategi pemasaran] 2"/>
    <tableColumn id="42" xr3:uid="{00000000-0010-0000-0100-00002A000000}" name="Silahkan pilih pernyataan mana yang kamu sukai dan ingin kamu pelajari [Ingin belajar pitching ide ke investor atau membuat business plan] 2"/>
    <tableColumn id="43" xr3:uid="{00000000-0010-0000-0100-00002B000000}" name="Silahkan pilih pernyataan mana yang kamu sukai dan ingin kamu pelajari [Ingin belajar menyusun argumen yang solid dan persuasif] 2"/>
    <tableColumn id="44" xr3:uid="{00000000-0010-0000-0100-00002C000000}" name="Silahkan pilih pernyataan mana yang kamu sukai dan ingin kamu pelajari [Senang diskusi isu sosial, politik, atau ekonomi] 2"/>
    <tableColumn id="45" xr3:uid="{00000000-0010-0000-0100-00002D000000}" name="Kapan pertama kali kamu mulai tertarik pada debat dan diplomasi?"/>
    <tableColumn id="46" xr3:uid="{00000000-0010-0000-0100-00002E000000}" name="Apakah kamu pernah mengikuti kompetisi debat dan diplomasi?"/>
    <tableColumn id="47" xr3:uid="{00000000-0010-0000-0100-00002F000000}" name="Jika &quot;Ya&quot;, Sebutkan kompetisi yang pernah kamu ikuti dengan capaian prestasi  (sebtukan 3 capaian tertinggi) "/>
    <tableColumn id="48" xr3:uid="{00000000-0010-0000-0100-000030000000}" name="Jika &quot;Tidak&quot;, tuliskan alasan kamu belum pernah ikut kompetisi "/>
    <tableColumn id="49" xr3:uid="{00000000-0010-0000-0100-000031000000}" name="Menurutmu, kemampuan apa yang masih perlu ditingkatkan apabila kamu mendapatkan pembinaan pada bidang debat dan diplomasi? "/>
    <tableColumn id="50" xr3:uid="{00000000-0010-0000-0100-000032000000}" name="Apa target kamu dalam ketika memulai menekuni bidang ini? "/>
    <tableColumn id="51" xr3:uid="{00000000-0010-0000-0100-000033000000}" name="Menurut kamu, Fasilitas apa yang perlu ditingkatkan oleh IPB untuk mendukung perkembangan kamu dalam bidang ini."/>
    <tableColumn id="52" xr3:uid="{00000000-0010-0000-0100-000034000000}" name="Kapan pertama kali kamu mulai tertarik pada bidang ICT-Robotika? "/>
    <tableColumn id="53" xr3:uid="{00000000-0010-0000-0100-000035000000}" name="Apakah Anda pernah mengikuti kompetisi ICT-Robotika?"/>
    <tableColumn id="54" xr3:uid="{00000000-0010-0000-0100-000036000000}" name="Jika &quot;Ya&quot;, Sebutkan kompetisi yang pernah kamu ikuti dengan capaian prestasi  (sebtukan 3 capaian tertinggi)  2"/>
    <tableColumn id="55" xr3:uid="{00000000-0010-0000-0100-000037000000}" name="Jika &quot;Tidak&quot;, tuliskan alasan kamu belum pernah ikut kompetisi  2"/>
    <tableColumn id="56" xr3:uid="{00000000-0010-0000-0100-000038000000}" name="Menurutmu, kemampuan apa yang masih perlu ditingkatkan apabila kamu mendapatkan pembinaan pada bidang ini? "/>
    <tableColumn id="57" xr3:uid="{00000000-0010-0000-0100-000039000000}" name="Apa target kamu dalam ketika memulai menekuni bidang ini?  2"/>
    <tableColumn id="58" xr3:uid="{00000000-0010-0000-0100-00003A000000}" name="Menurut kamu, Fasilitas apa yang perlu ditingkatkan oleh IPB untuk mendukung perkembangan kamu dalam bidang ini"/>
    <tableColumn id="59" xr3:uid="{00000000-0010-0000-0100-00003B000000}" name="Kapan pertama kali kamu mulai tertarik pada pengabdian?"/>
    <tableColumn id="60" xr3:uid="{00000000-0010-0000-0100-00003C000000}" name="Apakah kamu pernah mengikuti kompetisi di bidang pengabdian?"/>
    <tableColumn id="61" xr3:uid="{00000000-0010-0000-0100-00003D000000}" name="Jika &quot;Ya&quot;, Sebutkan kompetisi yang pernah kamu ikuti dengan capaian prestasi  (sebtukan 3 capaian tertinggi)  3"/>
    <tableColumn id="62" xr3:uid="{00000000-0010-0000-0100-00003E000000}" name="Jika &quot;Tidak&quot;, tuliskan alasan kamu belum pernah ikut kompetisi"/>
    <tableColumn id="63" xr3:uid="{00000000-0010-0000-0100-00003F000000}" name="Apakah kamu memiliki prestasi di bidang pengabdian?"/>
    <tableColumn id="64" xr3:uid="{00000000-0010-0000-0100-000040000000}" name="Menurutmu, kemampuan apa yang masih perlu ditingkatkan apabila kamu mendapatkan pembinaan pada bidang ini?  2"/>
    <tableColumn id="65" xr3:uid="{00000000-0010-0000-0100-000041000000}" name="Apa target kamu dalam ketika memulai menekuni bidang ini?  3"/>
    <tableColumn id="66" xr3:uid="{00000000-0010-0000-0100-000042000000}" name="Menurut kamu, Fasilitas apa yang perlu ditingkatkan oleh IPB untuk mendukung perkembangan kamu dalam bidang ini 2"/>
    <tableColumn id="67" xr3:uid="{00000000-0010-0000-0100-000043000000}" name="Kapan pertama kali kamu mulai tertarik pada sains dan penalaran?"/>
    <tableColumn id="68" xr3:uid="{00000000-0010-0000-0100-000044000000}" name="Apakah kamu pernah mengikuti kompetisi sains dan penalaran?"/>
    <tableColumn id="69" xr3:uid="{00000000-0010-0000-0100-000045000000}" name="Jika &quot;Ya&quot;, Sebutkan kompetisi yang pernah kamu ikuti dengan capaian prestasi  (sebtukan 3 capaian tertinggi)  4"/>
    <tableColumn id="70" xr3:uid="{00000000-0010-0000-0100-000046000000}" name="Jika &quot;Tidak&quot;, tuliskan alasan kamu belum pernah ikut kompetisi 2"/>
    <tableColumn id="71" xr3:uid="{00000000-0010-0000-0100-000047000000}" name="Menurutmu, kemampuan apa yang masih perlu ditingkatkan apabila kamu mendapatkan pembinaan pada bidang ini?  3"/>
    <tableColumn id="72" xr3:uid="{00000000-0010-0000-0100-000048000000}" name="Apa target kamu dalam ketika memulai menekuni bidang ini?  4"/>
    <tableColumn id="73" xr3:uid="{00000000-0010-0000-0100-000049000000}" name="Menurut kamu, Fasilitas apa yang perlu ditingkatkan oleh IPB untuk mendukung perkembangan kamu dalam bidang ini 3"/>
    <tableColumn id="74" xr3:uid="{00000000-0010-0000-0100-00004A000000}" name="Kapan pertama kali kamu mulai tertarik pada bisnis?"/>
    <tableColumn id="75" xr3:uid="{00000000-0010-0000-0100-00004B000000}" name="Apakah kamu pernah mengikuti kompetisi bisnis?"/>
    <tableColumn id="76" xr3:uid="{00000000-0010-0000-0100-00004C000000}" name="Jika &quot;Ya&quot;, Sebutkan kompetisi yang pernah kamu ikuti dengan capaian prestasi  (sebtukan 3 capaian tertinggi)  5"/>
    <tableColumn id="77" xr3:uid="{00000000-0010-0000-0100-00004D000000}" name="Jika &quot;Tidak&quot;, tuliskan alasan kamu belum pernah ikut kompetisi 3"/>
    <tableColumn id="78" xr3:uid="{00000000-0010-0000-0100-00004E000000}" name="Menurutmu, kemampuan apa yang masih perlu ditingkatkan apabila kamu mendapatkan pembinaan pada bidang ini?  4"/>
    <tableColumn id="79" xr3:uid="{00000000-0010-0000-0100-00004F000000}" name="Apa target kamu dalam ketika memulai menekuni bidang ini?  5"/>
    <tableColumn id="80" xr3:uid="{00000000-0010-0000-0100-000050000000}" name="Menurut kamu, Fasilitas apa yang perlu ditingkatkan oleh IPB untuk mendukung perkembangan kamu dalam bidang ini 4"/>
    <tableColumn id="81" xr3:uid="{00000000-0010-0000-0100-000051000000}" name="Menurut anda, bagaimana pelaksanaan yang paling sesuai untuk pelaksanaan pembinaan?"/>
    <tableColumn id="82" xr3:uid="{00000000-0010-0000-0100-000052000000}" name="Dalam mengikuti pembinaan kompetisi, Anda lebih nyaman dalam pembinaan yang dilakukan dengan kelompok seperti apa?"/>
    <tableColumn id="83" xr3:uid="{00000000-0010-0000-0100-000053000000}" name="Bagaimana aktivitas pembinaan yang paling sesuai untuk diterapkan sebagai pembinaan?"/>
    <tableColumn id="84" xr3:uid="{00000000-0010-0000-0100-000054000000}" name="Dalam memilih program pembinaan kompetisi. Program mana yang lebih sesuai dengan preferensi Anda?"/>
    <tableColumn id="85" xr3:uid="{00000000-0010-0000-0100-000055000000}" name="Menurut Anda, berapa jumlah pelaksanaan pembinaan yang ideal dalam rentang waktu satu bulan ?"/>
    <tableColumn id="86" xr3:uid="{00000000-0010-0000-0100-000056000000}" name="Menurut Anda, seberapa penting peran mentor/pembimbing dalam perlombaan/ kegiatan yang anda ikuti?"/>
    <tableColumn id="87" xr3:uid="{00000000-0010-0000-0100-000057000000}" name="Bagaimana tipe mentor/pembimbing yang Anda harapkan?"/>
    <tableColumn id="88" xr3:uid="{00000000-0010-0000-0100-000058000000}" name="Bagaimana kriteria mentor yang “ideal” menurut Anda?"/>
    <tableColumn id="89" xr3:uid="{00000000-0010-0000-0100-000059000000}" name="Apakah Anda pernah sekadar mengetahui salah satu dari program fasilitasi kompetisi yang telah dijelaskan di atas?"/>
    <tableColumn id="90" xr3:uid="{00000000-0010-0000-0100-00005A000000}" name="Manakah Program Fasilitasi Kompetitif dari IPB Prestasi yang Anda tahu?"/>
    <tableColumn id="91" xr3:uid="{00000000-0010-0000-0100-00005B000000}" name="Saya mengetahui dengan jelas kriteria penilaian kelayakan permohonan pendanaan Fasilitasi Kompetitif tingkat Nasional dan Internasional."/>
    <tableColumn id="92" xr3:uid="{00000000-0010-0000-0100-00005C000000}" name="Saya mengetahui dengan jelas Petunjuk Teknis Pengajuan Pendanaan Fasilitasi Kompetitif tingkat Nasional dan Internasional."/>
    <tableColumn id="93" xr3:uid="{00000000-0010-0000-0100-00005D000000}" name="Seberapa puas Anda terhadap Fasilitasi Pendanaan Kompetisi Mandiri Nasional Internasional?"/>
    <tableColumn id="94" xr3:uid="{00000000-0010-0000-0100-00005E000000}" name="Seberapa besar pengaruh Fasilitasi Pendanaan Kompetisi Mandiri Nasional terhadap keberhasilan lomba?"/>
    <tableColumn id="95" xr3:uid="{00000000-0010-0000-0100-00005F000000}" name="Seberapa mengetahui dengan jelas proses pengajuan permohonan dana dapat dilakukan dengan mengajukan melalui fitur fasilitasi aktivitas pada studentportal.ipb.ac.id?"/>
    <tableColumn id="96" xr3:uid="{00000000-0010-0000-0100-000060000000}" name="Saya mengetahui dengan jelas Teknis Pengajuan Administrasi Kegiatan Nasional dan Internasional."/>
    <tableColumn id="97" xr3:uid="{00000000-0010-0000-0100-000061000000}" name="Seberapa puas Anda terhadap Fasilitasi Administrasi Kegiatan Nasional dan Internasional?"/>
    <tableColumn id="98" xr3:uid="{00000000-0010-0000-0100-000062000000}" name="Seberapa besar pengaruh Fasilitasi Administrasi Kegiatan Nasional dan Internasional terhadap keberhasilan lomba?"/>
    <tableColumn id="99" xr3:uid="{00000000-0010-0000-0100-000063000000}" name="Saya mengetahui dengan jelas Teknis Pengajuan Pembinaan Kegiatan Nasional dan Internasional."/>
    <tableColumn id="100" xr3:uid="{00000000-0010-0000-0100-000064000000}" name="Seberapa puas Anda terhadap Fasilitasi Pembinaan Kegiatan Nasional dan Internasional?"/>
    <tableColumn id="101" xr3:uid="{00000000-0010-0000-0100-000065000000}" name="Seberapa besar pengaruh Fasilitasi Pembinaan Kegiatan Nasional dan Internasional terhadap keberhasilan lomba?"/>
    <tableColumn id="102" xr3:uid="{00000000-0010-0000-0100-000066000000}" name="Saya mengetahui dengan jelas Teknis Pengajuan Insentif Prestasi Kegiatan Nasional dan Internasional."/>
    <tableColumn id="103" xr3:uid="{00000000-0010-0000-0100-000067000000}" name="Seberapa puas Anda terhadap Fasilitasi Insentif Prestasi Kompetisi Mandiri?"/>
    <tableColumn id="104" xr3:uid="{00000000-0010-0000-0100-000068000000}" name="Seberapa besar pengaruh Fasilitasi Insentif Prestasi Kompetisi Mandiri terhadap keberhasilan lomba?"/>
    <tableColumn id="105" xr3:uid="{00000000-0010-0000-0100-000069000000}" name="Seberapa mengetahui dengan jelas proses klaim insentif dapat dilakukan dengan memasukan aktivitas kompetisi pada studentportal.ipb.ac.id?"/>
    <tableColumn id="106" xr3:uid="{00000000-0010-0000-0100-00006A000000}" name="Seberapa mengetahui dengan jelas pengisian SKPI dilakukan secara otomatis ketika mahasiswa memasukan kegiatannya kedalam fitur aktivitas di studentportal.ipb.ac.id? "/>
    <tableColumn id="107" xr3:uid="{00000000-0010-0000-0100-00006B000000}" name="Dari mana anda mengetahui adanya Fasilitasi Kompetitif dari IPB Prestasi?"/>
    <tableColumn id="108" xr3:uid="{00000000-0010-0000-0100-00006C000000}" name="Menurut anda, seberapa efektif promosi Fasilitasi Kompetitif dari IPB Prestasi untuk menjangkau semua mahasiswa?"/>
    <tableColumn id="109" xr3:uid="{00000000-0010-0000-0100-00006D000000}" name="Jenis media promosi dan informasi seperti apa yang anda sukai?"/>
    <tableColumn id="110" xr3:uid="{00000000-0010-0000-0100-00006E000000}" name="Apakah Anda pernah menggunakan Fasilitasi Kompetitif IPB Prestasi?"/>
    <tableColumn id="111" xr3:uid="{00000000-0010-0000-0100-00006F000000}" name="Bagaimana kualitas layanan saat Anda mengajukan pertanyaan atau melaporkan kendala?"/>
    <tableColumn id="112" xr3:uid="{00000000-0010-0000-0100-000070000000}" name="Bagaimana kemudahan mekanisme/alur pengajuan Fasilitasi?"/>
    <tableColumn id="113" xr3:uid="{00000000-0010-0000-0100-000071000000}" name="Bagaimana kecepatan verifikasi sampai dengan penyetujuan pengajuan? "/>
    <tableColumn id="114" xr3:uid="{00000000-0010-0000-0100-000072000000}" name="Kendala utama dalam mengakses/menjalani Fasilitasi Kompetitif IPB"/>
    <tableColumn id="115" xr3:uid="{00000000-0010-0000-0100-000073000000}" name="Menurut anda apa evaluasi untuk Fasilitas Kompetitif IPB?"/>
    <tableColumn id="116" xr3:uid="{00000000-0010-0000-0100-000074000000}" name="Apakah ada saran yang ingin Anda berikan untuk meningkatkan Fasilitasi Kompetitif IPB Prestasi? Apabila ada, tuliskan saran Anda!."/>
    <tableColumn id="117" xr3:uid="{00000000-0010-0000-0100-000075000000}" name="Column 117"/>
    <tableColumn id="118" xr3:uid="{00000000-0010-0000-0100-000076000000}" name="Column 118"/>
    <tableColumn id="119" xr3:uid="{00000000-0010-0000-0100-000077000000}" name="Column 119"/>
    <tableColumn id="120" xr3:uid="{00000000-0010-0000-0100-000078000000}" name="Column 120"/>
    <tableColumn id="121" xr3:uid="{00000000-0010-0000-0100-000079000000}" name="Column 121"/>
    <tableColumn id="122" xr3:uid="{00000000-0010-0000-0100-00007A000000}" name="Column 122"/>
  </tableColumns>
  <tableStyleInfo name="Copy of 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K189"/>
  <sheetViews>
    <sheetView tabSelected="1" workbookViewId="0">
      <pane ySplit="1" topLeftCell="A184" activePane="bottomLeft" state="frozen"/>
      <selection pane="bottomLeft" activeCell="A189" sqref="A189:XFD189"/>
    </sheetView>
  </sheetViews>
  <sheetFormatPr defaultColWidth="12.5703125" defaultRowHeight="15.75" customHeight="1" x14ac:dyDescent="0.2"/>
  <cols>
    <col min="1" max="8" width="18.85546875" customWidth="1"/>
    <col min="9" max="9" width="25.140625" customWidth="1"/>
    <col min="10" max="10" width="18.85546875" customWidth="1"/>
    <col min="11" max="115" width="37.5703125" customWidth="1"/>
    <col min="116" max="121" width="18.85546875" customWidth="1"/>
  </cols>
  <sheetData>
    <row r="1" spans="1:115" ht="22.5" customHeight="1" x14ac:dyDescent="0.2">
      <c r="A1" s="6" t="s">
        <v>13</v>
      </c>
      <c r="B1" s="6" t="s">
        <v>17</v>
      </c>
      <c r="C1" s="6" t="s">
        <v>18</v>
      </c>
      <c r="D1" s="6" t="s">
        <v>19</v>
      </c>
      <c r="E1" s="6" t="s">
        <v>21</v>
      </c>
      <c r="F1" s="6" t="s">
        <v>23</v>
      </c>
      <c r="G1" s="6" t="s">
        <v>24</v>
      </c>
      <c r="H1" s="6" t="s">
        <v>25</v>
      </c>
      <c r="I1" s="6" t="s">
        <v>26</v>
      </c>
      <c r="J1" s="6" t="s">
        <v>28</v>
      </c>
      <c r="K1" s="6" t="s">
        <v>30</v>
      </c>
      <c r="L1" s="6" t="s">
        <v>31</v>
      </c>
      <c r="M1" s="6" t="s">
        <v>32</v>
      </c>
      <c r="N1" s="6" t="s">
        <v>33</v>
      </c>
      <c r="O1" s="6" t="s">
        <v>34</v>
      </c>
      <c r="P1" s="6" t="s">
        <v>35</v>
      </c>
      <c r="Q1" s="6" t="s">
        <v>36</v>
      </c>
      <c r="R1" s="6" t="s">
        <v>38</v>
      </c>
      <c r="S1" s="6" t="s">
        <v>40</v>
      </c>
      <c r="T1" s="6" t="s">
        <v>41</v>
      </c>
      <c r="U1" s="6" t="s">
        <v>42</v>
      </c>
      <c r="V1" s="6" t="s">
        <v>43</v>
      </c>
      <c r="W1" s="6" t="s">
        <v>44</v>
      </c>
      <c r="X1" s="6" t="s">
        <v>45</v>
      </c>
      <c r="Y1" s="6" t="s">
        <v>46</v>
      </c>
      <c r="Z1" s="6" t="s">
        <v>47</v>
      </c>
      <c r="AA1" s="6" t="s">
        <v>48</v>
      </c>
      <c r="AB1" s="6" t="s">
        <v>50</v>
      </c>
      <c r="AC1" s="6" t="s">
        <v>51</v>
      </c>
      <c r="AD1" s="6" t="s">
        <v>52</v>
      </c>
      <c r="AE1" s="6" t="s">
        <v>53</v>
      </c>
      <c r="AF1" s="6" t="s">
        <v>54</v>
      </c>
      <c r="AG1" s="6" t="s">
        <v>55</v>
      </c>
      <c r="AH1" s="6" t="s">
        <v>56</v>
      </c>
      <c r="AI1" s="6" t="s">
        <v>57</v>
      </c>
      <c r="AJ1" s="6" t="s">
        <v>59</v>
      </c>
      <c r="AK1" s="6" t="s">
        <v>60</v>
      </c>
      <c r="AL1" s="6" t="s">
        <v>61</v>
      </c>
      <c r="AM1" s="6" t="s">
        <v>62</v>
      </c>
      <c r="AN1" s="6" t="s">
        <v>63</v>
      </c>
      <c r="AO1" s="6" t="s">
        <v>64</v>
      </c>
      <c r="AP1" s="6" t="s">
        <v>65</v>
      </c>
      <c r="AQ1" s="6" t="s">
        <v>67</v>
      </c>
      <c r="AR1" s="6" t="s">
        <v>68</v>
      </c>
      <c r="AS1" s="6" t="s">
        <v>69</v>
      </c>
      <c r="AT1" s="6" t="s">
        <v>71</v>
      </c>
      <c r="AU1" s="6" t="s">
        <v>72</v>
      </c>
      <c r="AV1" s="6" t="s">
        <v>73</v>
      </c>
      <c r="AW1" s="6" t="s">
        <v>74</v>
      </c>
      <c r="AX1" s="6" t="s">
        <v>75</v>
      </c>
      <c r="AY1" s="6" t="s">
        <v>76</v>
      </c>
      <c r="AZ1" s="6" t="s">
        <v>77</v>
      </c>
      <c r="BA1" s="6" t="s">
        <v>78</v>
      </c>
      <c r="BB1" s="6" t="s">
        <v>79</v>
      </c>
      <c r="BC1" s="6" t="s">
        <v>80</v>
      </c>
      <c r="BD1" s="6" t="s">
        <v>81</v>
      </c>
      <c r="BE1" s="6" t="s">
        <v>82</v>
      </c>
      <c r="BF1" s="6" t="s">
        <v>83</v>
      </c>
      <c r="BG1" s="6" t="s">
        <v>84</v>
      </c>
      <c r="BH1" s="6" t="s">
        <v>85</v>
      </c>
      <c r="BI1" s="6" t="s">
        <v>86</v>
      </c>
      <c r="BJ1" s="6" t="s">
        <v>87</v>
      </c>
      <c r="BK1" s="6" t="s">
        <v>88</v>
      </c>
      <c r="BL1" s="6" t="s">
        <v>89</v>
      </c>
      <c r="BM1" s="6" t="s">
        <v>90</v>
      </c>
      <c r="BN1" s="6" t="s">
        <v>91</v>
      </c>
      <c r="BO1" s="6" t="s">
        <v>92</v>
      </c>
      <c r="BP1" s="6" t="s">
        <v>93</v>
      </c>
      <c r="BQ1" s="6" t="s">
        <v>94</v>
      </c>
      <c r="BR1" s="6" t="s">
        <v>95</v>
      </c>
      <c r="BS1" s="6" t="s">
        <v>96</v>
      </c>
      <c r="BT1" s="6" t="s">
        <v>97</v>
      </c>
      <c r="BU1" s="6" t="s">
        <v>98</v>
      </c>
      <c r="BV1" s="6" t="s">
        <v>99</v>
      </c>
      <c r="BW1" s="6" t="s">
        <v>100</v>
      </c>
      <c r="BX1" s="6" t="s">
        <v>101</v>
      </c>
      <c r="BY1" s="6" t="s">
        <v>102</v>
      </c>
      <c r="BZ1" s="6" t="s">
        <v>103</v>
      </c>
      <c r="CA1" s="6" t="s">
        <v>104</v>
      </c>
      <c r="CB1" s="6" t="s">
        <v>105</v>
      </c>
      <c r="CC1" s="6" t="s">
        <v>106</v>
      </c>
      <c r="CD1" s="6" t="s">
        <v>107</v>
      </c>
      <c r="CE1" s="6" t="s">
        <v>108</v>
      </c>
      <c r="CF1" s="6" t="s">
        <v>109</v>
      </c>
      <c r="CG1" s="6" t="s">
        <v>110</v>
      </c>
      <c r="CH1" s="6" t="s">
        <v>111</v>
      </c>
      <c r="CI1" s="6" t="s">
        <v>112</v>
      </c>
      <c r="CJ1" s="6" t="s">
        <v>113</v>
      </c>
      <c r="CK1" s="6" t="s">
        <v>114</v>
      </c>
      <c r="CL1" s="6" t="s">
        <v>11</v>
      </c>
      <c r="CM1" s="6" t="s">
        <v>16</v>
      </c>
      <c r="CN1" s="6" t="s">
        <v>10</v>
      </c>
      <c r="CO1" s="6" t="s">
        <v>14</v>
      </c>
      <c r="CP1" s="6" t="s">
        <v>27</v>
      </c>
      <c r="CQ1" s="6" t="s">
        <v>39</v>
      </c>
      <c r="CR1" s="6" t="s">
        <v>12</v>
      </c>
      <c r="CS1" s="6" t="s">
        <v>20</v>
      </c>
      <c r="CT1" s="6" t="s">
        <v>49</v>
      </c>
      <c r="CU1" s="6" t="s">
        <v>15</v>
      </c>
      <c r="CV1" s="6" t="s">
        <v>29</v>
      </c>
      <c r="CW1" s="6" t="s">
        <v>58</v>
      </c>
      <c r="CX1" s="6" t="s">
        <v>22</v>
      </c>
      <c r="CY1" s="6" t="s">
        <v>37</v>
      </c>
      <c r="CZ1" s="6" t="s">
        <v>66</v>
      </c>
      <c r="DA1" s="6" t="s">
        <v>70</v>
      </c>
      <c r="DB1" s="6" t="s">
        <v>115</v>
      </c>
      <c r="DC1" s="6" t="s">
        <v>116</v>
      </c>
      <c r="DD1" s="6" t="s">
        <v>117</v>
      </c>
      <c r="DE1" s="6" t="s">
        <v>118</v>
      </c>
      <c r="DF1" s="6" t="s">
        <v>119</v>
      </c>
      <c r="DG1" s="6" t="s">
        <v>120</v>
      </c>
      <c r="DH1" s="6" t="s">
        <v>121</v>
      </c>
      <c r="DI1" s="6" t="s">
        <v>122</v>
      </c>
      <c r="DJ1" s="6" t="s">
        <v>123</v>
      </c>
      <c r="DK1" s="6" t="s">
        <v>124</v>
      </c>
    </row>
    <row r="2" spans="1:115" ht="22.5" customHeight="1" x14ac:dyDescent="0.2">
      <c r="A2" s="23">
        <v>46057.502488171296</v>
      </c>
      <c r="B2" s="24" t="s">
        <v>448</v>
      </c>
      <c r="C2" s="24">
        <v>0</v>
      </c>
      <c r="D2" s="24" t="s">
        <v>449</v>
      </c>
      <c r="E2" s="24" t="s">
        <v>450</v>
      </c>
      <c r="F2" s="24" t="s">
        <v>128</v>
      </c>
      <c r="G2" s="24">
        <v>62</v>
      </c>
      <c r="H2" s="25" t="s">
        <v>451</v>
      </c>
      <c r="I2" s="24" t="s">
        <v>132</v>
      </c>
      <c r="J2" s="24" t="s">
        <v>301</v>
      </c>
      <c r="K2" s="24" t="s">
        <v>135</v>
      </c>
      <c r="M2" s="24" t="s">
        <v>136</v>
      </c>
      <c r="N2" s="24" t="s">
        <v>240</v>
      </c>
      <c r="O2" s="24" t="s">
        <v>199</v>
      </c>
      <c r="P2" s="24" t="s">
        <v>136</v>
      </c>
      <c r="Q2" s="24" t="s">
        <v>265</v>
      </c>
      <c r="R2" s="24" t="s">
        <v>199</v>
      </c>
      <c r="S2" s="24" t="s">
        <v>266</v>
      </c>
      <c r="T2" s="24" t="s">
        <v>136</v>
      </c>
      <c r="U2" s="24" t="s">
        <v>202</v>
      </c>
      <c r="V2" s="24" t="s">
        <v>199</v>
      </c>
      <c r="AI2" s="24" t="s">
        <v>304</v>
      </c>
      <c r="AJ2" s="24" t="s">
        <v>136</v>
      </c>
      <c r="AK2" s="24" t="s">
        <v>136</v>
      </c>
      <c r="AL2" s="24" t="s">
        <v>136</v>
      </c>
      <c r="AM2" s="24" t="s">
        <v>156</v>
      </c>
      <c r="AN2" s="24" t="s">
        <v>136</v>
      </c>
      <c r="AO2" s="24" t="s">
        <v>136</v>
      </c>
      <c r="AP2" s="24" t="s">
        <v>136</v>
      </c>
      <c r="AQ2" s="24" t="s">
        <v>136</v>
      </c>
      <c r="BU2" s="24" t="s">
        <v>167</v>
      </c>
      <c r="BV2" s="24" t="s">
        <v>136</v>
      </c>
      <c r="BW2" s="24" t="s">
        <v>452</v>
      </c>
      <c r="BY2" s="24" t="s">
        <v>336</v>
      </c>
      <c r="BZ2" s="24" t="s">
        <v>447</v>
      </c>
      <c r="CA2" s="24" t="s">
        <v>377</v>
      </c>
      <c r="CB2" s="24" t="s">
        <v>149</v>
      </c>
      <c r="CC2" s="24" t="s">
        <v>242</v>
      </c>
      <c r="CD2" s="24" t="s">
        <v>322</v>
      </c>
      <c r="CE2" s="24" t="s">
        <v>152</v>
      </c>
      <c r="CF2" s="24" t="s">
        <v>153</v>
      </c>
      <c r="CG2" s="24">
        <v>4</v>
      </c>
      <c r="CH2" s="24" t="s">
        <v>154</v>
      </c>
      <c r="CI2" s="24" t="s">
        <v>445</v>
      </c>
      <c r="CJ2" s="24" t="s">
        <v>136</v>
      </c>
      <c r="CK2" s="24" t="s">
        <v>246</v>
      </c>
      <c r="CL2" s="24">
        <v>1</v>
      </c>
      <c r="CM2" s="24">
        <v>1</v>
      </c>
      <c r="CN2" s="24">
        <v>3</v>
      </c>
      <c r="CO2" s="24">
        <v>4</v>
      </c>
      <c r="CP2" s="24">
        <v>3</v>
      </c>
      <c r="CQ2" s="24">
        <v>1</v>
      </c>
      <c r="CR2" s="24">
        <v>1</v>
      </c>
      <c r="CS2" s="24">
        <v>1</v>
      </c>
      <c r="CT2" s="24">
        <v>1</v>
      </c>
      <c r="CU2" s="24">
        <v>3</v>
      </c>
      <c r="CV2" s="24">
        <v>3</v>
      </c>
      <c r="CW2" s="24">
        <v>2</v>
      </c>
      <c r="CX2" s="24">
        <v>1</v>
      </c>
      <c r="CY2" s="24">
        <v>4</v>
      </c>
      <c r="CZ2" s="24">
        <v>2</v>
      </c>
      <c r="DA2" s="24">
        <v>1</v>
      </c>
      <c r="DB2" s="24" t="s">
        <v>399</v>
      </c>
      <c r="DC2" s="24">
        <v>3</v>
      </c>
      <c r="DD2" s="24" t="s">
        <v>440</v>
      </c>
      <c r="DE2" s="24" t="s">
        <v>136</v>
      </c>
      <c r="DF2" s="24">
        <v>4</v>
      </c>
      <c r="DG2" s="24">
        <v>4</v>
      </c>
      <c r="DH2" s="24">
        <v>2</v>
      </c>
      <c r="DI2" s="24" t="s">
        <v>453</v>
      </c>
      <c r="DJ2" s="24" t="s">
        <v>210</v>
      </c>
      <c r="DK2" s="24" t="s">
        <v>454</v>
      </c>
    </row>
    <row r="3" spans="1:115" ht="22.5" customHeight="1" x14ac:dyDescent="0.2">
      <c r="A3" s="23">
        <v>46057.504747071755</v>
      </c>
      <c r="B3" s="24" t="s">
        <v>455</v>
      </c>
      <c r="C3" s="24">
        <v>0</v>
      </c>
      <c r="D3" s="24" t="s">
        <v>456</v>
      </c>
      <c r="E3" s="24" t="s">
        <v>457</v>
      </c>
      <c r="F3" s="24" t="s">
        <v>128</v>
      </c>
      <c r="G3" s="24">
        <v>62</v>
      </c>
      <c r="H3" s="25" t="s">
        <v>458</v>
      </c>
      <c r="I3" s="24" t="s">
        <v>194</v>
      </c>
      <c r="J3" s="24" t="s">
        <v>133</v>
      </c>
      <c r="K3" s="24" t="s">
        <v>135</v>
      </c>
      <c r="M3" s="24" t="s">
        <v>136</v>
      </c>
      <c r="N3" s="24" t="s">
        <v>264</v>
      </c>
      <c r="O3" s="24" t="s">
        <v>199</v>
      </c>
      <c r="P3" s="24" t="s">
        <v>156</v>
      </c>
      <c r="Q3" s="24" t="s">
        <v>215</v>
      </c>
      <c r="R3" s="24" t="s">
        <v>217</v>
      </c>
      <c r="S3" s="24" t="s">
        <v>266</v>
      </c>
      <c r="T3" s="24" t="s">
        <v>156</v>
      </c>
      <c r="U3" s="24" t="s">
        <v>215</v>
      </c>
      <c r="V3" s="24" t="s">
        <v>426</v>
      </c>
      <c r="W3" s="24" t="s">
        <v>459</v>
      </c>
      <c r="X3" s="24" t="s">
        <v>460</v>
      </c>
      <c r="Y3" s="24" t="s">
        <v>461</v>
      </c>
      <c r="Z3" s="24" t="s">
        <v>136</v>
      </c>
      <c r="AA3" s="24" t="s">
        <v>136</v>
      </c>
      <c r="AB3" s="24" t="s">
        <v>156</v>
      </c>
      <c r="AC3" s="24" t="s">
        <v>156</v>
      </c>
      <c r="AD3" s="24" t="s">
        <v>136</v>
      </c>
      <c r="AE3" s="24" t="s">
        <v>136</v>
      </c>
      <c r="AF3" s="24" t="s">
        <v>136</v>
      </c>
      <c r="AG3" s="24" t="s">
        <v>156</v>
      </c>
      <c r="AH3" s="24" t="s">
        <v>144</v>
      </c>
      <c r="CJ3" s="24" t="s">
        <v>136</v>
      </c>
      <c r="CK3" s="24" t="s">
        <v>362</v>
      </c>
      <c r="CL3" s="24">
        <v>3</v>
      </c>
      <c r="CM3" s="24">
        <v>3</v>
      </c>
      <c r="CN3" s="24">
        <v>3</v>
      </c>
      <c r="CO3" s="24">
        <v>3</v>
      </c>
      <c r="CP3" s="24">
        <v>4</v>
      </c>
      <c r="CQ3" s="24">
        <v>3</v>
      </c>
      <c r="CR3" s="24">
        <v>3</v>
      </c>
      <c r="CS3" s="24">
        <v>3</v>
      </c>
      <c r="CT3" s="24">
        <v>3</v>
      </c>
      <c r="CU3" s="24">
        <v>3</v>
      </c>
      <c r="CV3" s="24">
        <v>3</v>
      </c>
      <c r="CW3" s="24">
        <v>3</v>
      </c>
      <c r="CX3" s="24">
        <v>3</v>
      </c>
      <c r="CY3" s="24">
        <v>3</v>
      </c>
      <c r="CZ3" s="24">
        <v>3</v>
      </c>
      <c r="DA3" s="24">
        <v>3</v>
      </c>
      <c r="DB3" s="24" t="s">
        <v>247</v>
      </c>
      <c r="DC3" s="24">
        <v>2</v>
      </c>
      <c r="DD3" s="24" t="s">
        <v>395</v>
      </c>
      <c r="DE3" s="24" t="s">
        <v>156</v>
      </c>
      <c r="DJ3" s="24" t="s">
        <v>210</v>
      </c>
      <c r="DK3" s="24" t="s">
        <v>137</v>
      </c>
    </row>
    <row r="4" spans="1:115" ht="22.5" customHeight="1" x14ac:dyDescent="0.2">
      <c r="A4" s="23">
        <v>46057.505409375</v>
      </c>
      <c r="B4" s="24" t="s">
        <v>462</v>
      </c>
      <c r="C4" s="24">
        <v>0</v>
      </c>
      <c r="D4" s="24" t="s">
        <v>463</v>
      </c>
      <c r="E4" s="24" t="s">
        <v>464</v>
      </c>
      <c r="F4" s="24" t="s">
        <v>163</v>
      </c>
      <c r="G4" s="24">
        <v>62</v>
      </c>
      <c r="H4" s="25" t="s">
        <v>465</v>
      </c>
      <c r="I4" s="24" t="s">
        <v>132</v>
      </c>
      <c r="J4" s="24" t="s">
        <v>133</v>
      </c>
      <c r="K4" s="24" t="s">
        <v>135</v>
      </c>
      <c r="M4" s="24" t="s">
        <v>136</v>
      </c>
      <c r="N4" s="24" t="s">
        <v>264</v>
      </c>
      <c r="O4" s="24" t="s">
        <v>199</v>
      </c>
      <c r="P4" s="24" t="s">
        <v>156</v>
      </c>
      <c r="Q4" s="24" t="s">
        <v>215</v>
      </c>
      <c r="R4" s="24" t="s">
        <v>270</v>
      </c>
      <c r="S4" s="24" t="s">
        <v>201</v>
      </c>
      <c r="T4" s="24" t="s">
        <v>136</v>
      </c>
      <c r="U4" s="24" t="s">
        <v>241</v>
      </c>
      <c r="V4" s="24" t="s">
        <v>199</v>
      </c>
      <c r="AI4" s="24" t="s">
        <v>466</v>
      </c>
      <c r="AJ4" s="24" t="s">
        <v>136</v>
      </c>
      <c r="AK4" s="24" t="s">
        <v>136</v>
      </c>
      <c r="AL4" s="24" t="s">
        <v>136</v>
      </c>
      <c r="AM4" s="24" t="s">
        <v>136</v>
      </c>
      <c r="AN4" s="24" t="s">
        <v>136</v>
      </c>
      <c r="AO4" s="24" t="s">
        <v>136</v>
      </c>
      <c r="AP4" s="24" t="s">
        <v>136</v>
      </c>
      <c r="AQ4" s="24" t="s">
        <v>136</v>
      </c>
      <c r="AR4" s="24" t="s">
        <v>305</v>
      </c>
      <c r="AS4" s="24" t="s">
        <v>156</v>
      </c>
      <c r="AT4" s="24" t="s">
        <v>137</v>
      </c>
      <c r="AU4" s="24" t="s">
        <v>467</v>
      </c>
      <c r="AV4" s="24" t="s">
        <v>468</v>
      </c>
      <c r="AW4" s="24" t="s">
        <v>405</v>
      </c>
      <c r="AX4" s="24" t="s">
        <v>406</v>
      </c>
      <c r="CB4" s="24" t="s">
        <v>267</v>
      </c>
      <c r="CC4" s="24" t="s">
        <v>150</v>
      </c>
      <c r="CD4" s="24" t="s">
        <v>322</v>
      </c>
      <c r="CE4" s="24" t="s">
        <v>152</v>
      </c>
      <c r="CF4" s="24" t="s">
        <v>243</v>
      </c>
      <c r="CG4" s="24">
        <v>4</v>
      </c>
      <c r="CH4" s="24" t="s">
        <v>154</v>
      </c>
      <c r="CI4" s="24" t="s">
        <v>365</v>
      </c>
      <c r="CJ4" s="24" t="s">
        <v>136</v>
      </c>
      <c r="CK4" s="24" t="s">
        <v>328</v>
      </c>
      <c r="CL4" s="24">
        <v>2</v>
      </c>
      <c r="CM4" s="24">
        <v>2</v>
      </c>
      <c r="CN4" s="24">
        <v>3</v>
      </c>
      <c r="CO4" s="24">
        <v>4</v>
      </c>
      <c r="CP4" s="24">
        <v>3</v>
      </c>
      <c r="CQ4" s="24">
        <v>2</v>
      </c>
      <c r="CR4" s="24">
        <v>2</v>
      </c>
      <c r="CS4" s="24">
        <v>4</v>
      </c>
      <c r="CT4" s="24">
        <v>2</v>
      </c>
      <c r="CU4" s="24">
        <v>2</v>
      </c>
      <c r="CV4" s="24">
        <v>2</v>
      </c>
      <c r="CW4" s="24">
        <v>2</v>
      </c>
      <c r="CX4" s="24">
        <v>4</v>
      </c>
      <c r="CY4" s="24">
        <v>4</v>
      </c>
      <c r="CZ4" s="24">
        <v>4</v>
      </c>
      <c r="DA4" s="24">
        <v>4</v>
      </c>
      <c r="DB4" s="24" t="s">
        <v>310</v>
      </c>
      <c r="DC4" s="24">
        <v>4</v>
      </c>
      <c r="DD4" s="24" t="s">
        <v>424</v>
      </c>
      <c r="DE4" s="24" t="s">
        <v>156</v>
      </c>
      <c r="DJ4" s="24" t="s">
        <v>210</v>
      </c>
      <c r="DK4" s="24" t="s">
        <v>469</v>
      </c>
    </row>
    <row r="5" spans="1:115" ht="22.5" customHeight="1" x14ac:dyDescent="0.2">
      <c r="A5" s="23">
        <v>46057.50576122685</v>
      </c>
      <c r="B5" s="24" t="s">
        <v>470</v>
      </c>
      <c r="C5" s="24">
        <v>0</v>
      </c>
      <c r="D5" s="24" t="s">
        <v>471</v>
      </c>
      <c r="E5" s="24" t="s">
        <v>472</v>
      </c>
      <c r="F5" s="24" t="s">
        <v>163</v>
      </c>
      <c r="G5" s="24">
        <v>62</v>
      </c>
      <c r="H5" s="25" t="s">
        <v>473</v>
      </c>
      <c r="I5" s="24" t="s">
        <v>132</v>
      </c>
      <c r="J5" s="24" t="s">
        <v>133</v>
      </c>
      <c r="K5" s="24" t="s">
        <v>135</v>
      </c>
      <c r="M5" s="24" t="s">
        <v>156</v>
      </c>
      <c r="N5" s="24" t="s">
        <v>215</v>
      </c>
      <c r="O5" s="24" t="s">
        <v>216</v>
      </c>
      <c r="P5" s="24" t="s">
        <v>136</v>
      </c>
      <c r="Q5" s="24" t="s">
        <v>265</v>
      </c>
      <c r="R5" s="24" t="s">
        <v>199</v>
      </c>
      <c r="S5" s="24" t="s">
        <v>255</v>
      </c>
      <c r="T5" s="24" t="s">
        <v>136</v>
      </c>
      <c r="U5" s="24" t="s">
        <v>356</v>
      </c>
      <c r="V5" s="24" t="s">
        <v>199</v>
      </c>
      <c r="AI5" s="24" t="s">
        <v>319</v>
      </c>
      <c r="AJ5" s="24" t="s">
        <v>136</v>
      </c>
      <c r="AK5" s="24" t="s">
        <v>136</v>
      </c>
      <c r="AL5" s="24" t="s">
        <v>136</v>
      </c>
      <c r="AM5" s="24" t="s">
        <v>136</v>
      </c>
      <c r="AN5" s="24" t="s">
        <v>156</v>
      </c>
      <c r="AO5" s="24" t="s">
        <v>156</v>
      </c>
      <c r="AP5" s="24" t="s">
        <v>136</v>
      </c>
      <c r="AQ5" s="24" t="s">
        <v>136</v>
      </c>
      <c r="AY5" s="24" t="s">
        <v>305</v>
      </c>
      <c r="AZ5" s="24" t="s">
        <v>156</v>
      </c>
      <c r="BB5" s="24" t="s">
        <v>474</v>
      </c>
      <c r="BC5" s="24" t="s">
        <v>444</v>
      </c>
      <c r="BD5" s="24" t="s">
        <v>393</v>
      </c>
      <c r="BE5" s="24" t="s">
        <v>394</v>
      </c>
      <c r="CB5" s="24" t="s">
        <v>149</v>
      </c>
      <c r="CC5" s="24" t="s">
        <v>150</v>
      </c>
      <c r="CD5" s="24" t="s">
        <v>322</v>
      </c>
      <c r="CE5" s="24" t="s">
        <v>152</v>
      </c>
      <c r="CF5" s="24" t="s">
        <v>153</v>
      </c>
      <c r="CG5" s="24">
        <v>3</v>
      </c>
      <c r="CH5" s="24" t="s">
        <v>205</v>
      </c>
      <c r="CI5" s="24" t="s">
        <v>475</v>
      </c>
      <c r="CJ5" s="24" t="s">
        <v>136</v>
      </c>
      <c r="CK5" s="24" t="s">
        <v>246</v>
      </c>
      <c r="CL5" s="24">
        <v>2</v>
      </c>
      <c r="CM5" s="24">
        <v>2</v>
      </c>
      <c r="CN5" s="24">
        <v>3</v>
      </c>
      <c r="CO5" s="24">
        <v>2</v>
      </c>
      <c r="CP5" s="24">
        <v>3</v>
      </c>
      <c r="CQ5" s="24">
        <v>3</v>
      </c>
      <c r="CR5" s="24">
        <v>3</v>
      </c>
      <c r="CS5" s="24">
        <v>3</v>
      </c>
      <c r="CT5" s="24">
        <v>3</v>
      </c>
      <c r="CU5" s="24">
        <v>2</v>
      </c>
      <c r="CV5" s="24">
        <v>2</v>
      </c>
      <c r="CW5" s="24">
        <v>3</v>
      </c>
      <c r="CX5" s="24">
        <v>3</v>
      </c>
      <c r="CY5" s="24">
        <v>2</v>
      </c>
      <c r="CZ5" s="24">
        <v>3</v>
      </c>
      <c r="DA5" s="24">
        <v>2</v>
      </c>
      <c r="DB5" s="24" t="s">
        <v>315</v>
      </c>
      <c r="DC5" s="24">
        <v>4</v>
      </c>
      <c r="DD5" s="24" t="s">
        <v>395</v>
      </c>
      <c r="DE5" s="24" t="s">
        <v>156</v>
      </c>
      <c r="DJ5" s="24" t="s">
        <v>188</v>
      </c>
      <c r="DK5" s="24" t="s">
        <v>137</v>
      </c>
    </row>
    <row r="6" spans="1:115" ht="22.5" customHeight="1" x14ac:dyDescent="0.2">
      <c r="A6" s="23">
        <v>46057.509570057868</v>
      </c>
      <c r="B6" s="24" t="s">
        <v>476</v>
      </c>
      <c r="C6" s="24">
        <v>0</v>
      </c>
      <c r="D6" s="24" t="s">
        <v>477</v>
      </c>
      <c r="E6" s="24" t="s">
        <v>478</v>
      </c>
      <c r="F6" s="24" t="s">
        <v>128</v>
      </c>
      <c r="G6" s="24">
        <v>62</v>
      </c>
      <c r="H6" s="25" t="s">
        <v>479</v>
      </c>
      <c r="I6" s="24" t="s">
        <v>132</v>
      </c>
      <c r="J6" s="24" t="s">
        <v>133</v>
      </c>
      <c r="K6" s="24" t="s">
        <v>135</v>
      </c>
      <c r="M6" s="24" t="s">
        <v>156</v>
      </c>
      <c r="N6" s="24" t="s">
        <v>215</v>
      </c>
      <c r="O6" s="24" t="s">
        <v>360</v>
      </c>
      <c r="P6" s="24" t="s">
        <v>136</v>
      </c>
      <c r="Q6" s="24" t="s">
        <v>254</v>
      </c>
      <c r="R6" s="24" t="s">
        <v>199</v>
      </c>
      <c r="S6" s="24" t="s">
        <v>313</v>
      </c>
      <c r="T6" s="24" t="s">
        <v>136</v>
      </c>
      <c r="U6" s="24" t="s">
        <v>202</v>
      </c>
      <c r="V6" s="24" t="s">
        <v>199</v>
      </c>
      <c r="AI6" s="24" t="s">
        <v>304</v>
      </c>
      <c r="AJ6" s="24" t="s">
        <v>136</v>
      </c>
      <c r="AK6" s="24" t="s">
        <v>136</v>
      </c>
      <c r="AL6" s="24" t="s">
        <v>136</v>
      </c>
      <c r="AM6" s="24" t="s">
        <v>156</v>
      </c>
      <c r="AN6" s="24" t="s">
        <v>136</v>
      </c>
      <c r="AO6" s="24" t="s">
        <v>136</v>
      </c>
      <c r="AP6" s="24" t="s">
        <v>136</v>
      </c>
      <c r="AQ6" s="24" t="s">
        <v>136</v>
      </c>
      <c r="BU6" s="24" t="s">
        <v>167</v>
      </c>
      <c r="BV6" s="24" t="s">
        <v>156</v>
      </c>
      <c r="BW6" s="24" t="s">
        <v>137</v>
      </c>
      <c r="BX6" s="24" t="s">
        <v>480</v>
      </c>
      <c r="BY6" s="24" t="s">
        <v>420</v>
      </c>
      <c r="BZ6" s="24" t="s">
        <v>307</v>
      </c>
      <c r="CA6" s="24" t="s">
        <v>308</v>
      </c>
      <c r="CB6" s="24" t="s">
        <v>149</v>
      </c>
      <c r="CC6" s="24" t="s">
        <v>150</v>
      </c>
      <c r="CD6" s="24" t="s">
        <v>229</v>
      </c>
      <c r="CE6" s="24" t="s">
        <v>204</v>
      </c>
      <c r="CF6" s="24" t="s">
        <v>243</v>
      </c>
      <c r="CG6" s="24">
        <v>4</v>
      </c>
      <c r="CH6" s="24" t="s">
        <v>481</v>
      </c>
      <c r="CI6" s="24" t="s">
        <v>259</v>
      </c>
      <c r="CJ6" s="24" t="s">
        <v>136</v>
      </c>
      <c r="CK6" s="24" t="s">
        <v>430</v>
      </c>
      <c r="CL6" s="24">
        <v>2</v>
      </c>
      <c r="CM6" s="24">
        <v>2</v>
      </c>
      <c r="CN6" s="24">
        <v>2</v>
      </c>
      <c r="CO6" s="24">
        <v>4</v>
      </c>
      <c r="CP6" s="24">
        <v>3</v>
      </c>
      <c r="CQ6" s="24">
        <v>2</v>
      </c>
      <c r="CR6" s="24">
        <v>2</v>
      </c>
      <c r="CS6" s="24">
        <v>2</v>
      </c>
      <c r="CT6" s="24">
        <v>2</v>
      </c>
      <c r="CU6" s="24">
        <v>2</v>
      </c>
      <c r="CV6" s="24">
        <v>4</v>
      </c>
      <c r="CW6" s="24">
        <v>2</v>
      </c>
      <c r="CX6" s="24">
        <v>2</v>
      </c>
      <c r="CY6" s="24">
        <v>4</v>
      </c>
      <c r="CZ6" s="24">
        <v>2</v>
      </c>
      <c r="DA6" s="24">
        <v>2</v>
      </c>
      <c r="DB6" s="24" t="s">
        <v>247</v>
      </c>
      <c r="DC6" s="24">
        <v>3</v>
      </c>
      <c r="DD6" s="24" t="s">
        <v>268</v>
      </c>
      <c r="DE6" s="24" t="s">
        <v>156</v>
      </c>
      <c r="DJ6" s="24" t="s">
        <v>210</v>
      </c>
      <c r="DK6" s="24" t="s">
        <v>381</v>
      </c>
    </row>
    <row r="7" spans="1:115" ht="22.5" customHeight="1" x14ac:dyDescent="0.2">
      <c r="A7" s="23">
        <v>46058.380654803244</v>
      </c>
      <c r="B7" s="24" t="s">
        <v>482</v>
      </c>
      <c r="C7" s="24">
        <v>0</v>
      </c>
      <c r="D7" s="24" t="s">
        <v>483</v>
      </c>
      <c r="E7" s="24" t="s">
        <v>484</v>
      </c>
      <c r="F7" s="24" t="s">
        <v>128</v>
      </c>
      <c r="G7" s="24">
        <v>61</v>
      </c>
      <c r="H7" s="25" t="s">
        <v>485</v>
      </c>
      <c r="I7" s="24" t="s">
        <v>194</v>
      </c>
      <c r="J7" s="24" t="s">
        <v>301</v>
      </c>
      <c r="K7" s="24" t="s">
        <v>345</v>
      </c>
      <c r="M7" s="24" t="s">
        <v>136</v>
      </c>
      <c r="N7" s="24" t="s">
        <v>276</v>
      </c>
      <c r="O7" s="24" t="s">
        <v>360</v>
      </c>
      <c r="P7" s="24" t="s">
        <v>156</v>
      </c>
      <c r="R7" s="24" t="s">
        <v>217</v>
      </c>
      <c r="S7" s="24" t="s">
        <v>266</v>
      </c>
      <c r="T7" s="24" t="s">
        <v>136</v>
      </c>
      <c r="U7" s="24" t="s">
        <v>356</v>
      </c>
      <c r="V7" s="24" t="s">
        <v>486</v>
      </c>
      <c r="AI7" s="24" t="s">
        <v>304</v>
      </c>
      <c r="AJ7" s="24" t="s">
        <v>136</v>
      </c>
      <c r="AK7" s="24" t="s">
        <v>156</v>
      </c>
      <c r="AL7" s="24" t="s">
        <v>136</v>
      </c>
      <c r="AM7" s="24" t="s">
        <v>156</v>
      </c>
      <c r="AN7" s="24" t="s">
        <v>136</v>
      </c>
      <c r="AO7" s="24" t="s">
        <v>136</v>
      </c>
      <c r="AP7" s="24" t="s">
        <v>136</v>
      </c>
      <c r="AQ7" s="24" t="s">
        <v>136</v>
      </c>
      <c r="BU7" s="24" t="s">
        <v>346</v>
      </c>
      <c r="BV7" s="24" t="s">
        <v>136</v>
      </c>
      <c r="BW7" s="24" t="s">
        <v>487</v>
      </c>
      <c r="BY7" s="24" t="s">
        <v>376</v>
      </c>
      <c r="BZ7" s="24" t="s">
        <v>307</v>
      </c>
      <c r="CA7" s="24" t="s">
        <v>428</v>
      </c>
      <c r="CB7" s="24" t="s">
        <v>149</v>
      </c>
      <c r="CC7" s="24" t="s">
        <v>242</v>
      </c>
      <c r="CD7" s="24" t="s">
        <v>151</v>
      </c>
      <c r="CE7" s="24" t="s">
        <v>204</v>
      </c>
      <c r="CF7" s="24" t="s">
        <v>243</v>
      </c>
      <c r="CG7" s="24">
        <v>4</v>
      </c>
      <c r="CH7" s="24" t="s">
        <v>205</v>
      </c>
      <c r="CI7" s="24" t="s">
        <v>374</v>
      </c>
      <c r="CJ7" s="24" t="s">
        <v>136</v>
      </c>
      <c r="CK7" s="24" t="s">
        <v>488</v>
      </c>
      <c r="CL7" s="24">
        <v>3</v>
      </c>
      <c r="CM7" s="24">
        <v>3</v>
      </c>
      <c r="CN7" s="24">
        <v>3</v>
      </c>
      <c r="CO7" s="24">
        <v>4</v>
      </c>
      <c r="CP7" s="24">
        <v>5</v>
      </c>
      <c r="CQ7" s="24">
        <v>4</v>
      </c>
      <c r="CR7" s="24">
        <v>3</v>
      </c>
      <c r="CS7" s="24">
        <v>4</v>
      </c>
      <c r="CT7" s="24">
        <v>4</v>
      </c>
      <c r="CU7" s="24">
        <v>3</v>
      </c>
      <c r="CV7" s="24">
        <v>4</v>
      </c>
      <c r="CW7" s="24">
        <v>4</v>
      </c>
      <c r="CX7" s="24">
        <v>3</v>
      </c>
      <c r="CY7" s="24">
        <v>4</v>
      </c>
      <c r="CZ7" s="24">
        <v>3</v>
      </c>
      <c r="DA7" s="24">
        <v>2</v>
      </c>
      <c r="DB7" s="24" t="s">
        <v>247</v>
      </c>
      <c r="DC7" s="24">
        <v>3</v>
      </c>
      <c r="DD7" s="24" t="s">
        <v>380</v>
      </c>
      <c r="DE7" s="24" t="s">
        <v>136</v>
      </c>
      <c r="DF7" s="24">
        <v>3</v>
      </c>
      <c r="DG7" s="24">
        <v>4</v>
      </c>
      <c r="DH7" s="24">
        <v>4</v>
      </c>
      <c r="DI7" s="24" t="s">
        <v>489</v>
      </c>
      <c r="DJ7" s="24" t="s">
        <v>188</v>
      </c>
      <c r="DK7" s="24" t="s">
        <v>137</v>
      </c>
    </row>
    <row r="8" spans="1:115" ht="22.5" customHeight="1" x14ac:dyDescent="0.2">
      <c r="A8" s="23">
        <v>46059.786717199073</v>
      </c>
      <c r="B8" s="24" t="s">
        <v>490</v>
      </c>
      <c r="C8" s="24">
        <v>0</v>
      </c>
      <c r="D8" s="24" t="s">
        <v>491</v>
      </c>
      <c r="E8" s="24" t="s">
        <v>492</v>
      </c>
      <c r="F8" s="24" t="s">
        <v>163</v>
      </c>
      <c r="G8" s="24">
        <v>62</v>
      </c>
      <c r="H8" s="25" t="s">
        <v>493</v>
      </c>
      <c r="I8" s="24" t="s">
        <v>132</v>
      </c>
      <c r="J8" s="24" t="s">
        <v>133</v>
      </c>
      <c r="K8" s="24" t="s">
        <v>345</v>
      </c>
      <c r="M8" s="24" t="s">
        <v>136</v>
      </c>
      <c r="N8" s="24" t="s">
        <v>240</v>
      </c>
      <c r="O8" s="24" t="s">
        <v>199</v>
      </c>
      <c r="P8" s="24" t="s">
        <v>156</v>
      </c>
      <c r="R8" s="24" t="s">
        <v>318</v>
      </c>
      <c r="S8" s="24" t="s">
        <v>313</v>
      </c>
      <c r="T8" s="24" t="s">
        <v>136</v>
      </c>
      <c r="U8" s="24" t="s">
        <v>294</v>
      </c>
      <c r="V8" s="24" t="s">
        <v>199</v>
      </c>
      <c r="AI8" s="24" t="s">
        <v>304</v>
      </c>
      <c r="AJ8" s="24" t="s">
        <v>136</v>
      </c>
      <c r="AK8" s="24" t="s">
        <v>136</v>
      </c>
      <c r="AL8" s="24" t="s">
        <v>136</v>
      </c>
      <c r="AM8" s="24" t="s">
        <v>136</v>
      </c>
      <c r="AN8" s="24" t="s">
        <v>136</v>
      </c>
      <c r="AO8" s="24" t="s">
        <v>136</v>
      </c>
      <c r="AP8" s="24" t="s">
        <v>136</v>
      </c>
      <c r="AQ8" s="24" t="s">
        <v>136</v>
      </c>
      <c r="BU8" s="24" t="s">
        <v>305</v>
      </c>
      <c r="BV8" s="24" t="s">
        <v>136</v>
      </c>
      <c r="BW8" s="24" t="s">
        <v>494</v>
      </c>
      <c r="BY8" s="24" t="s">
        <v>420</v>
      </c>
      <c r="BZ8" s="24" t="s">
        <v>307</v>
      </c>
      <c r="CA8" s="24" t="s">
        <v>338</v>
      </c>
      <c r="CB8" s="24" t="s">
        <v>267</v>
      </c>
      <c r="CC8" s="24" t="s">
        <v>150</v>
      </c>
      <c r="CD8" s="24" t="s">
        <v>322</v>
      </c>
      <c r="CE8" s="24" t="s">
        <v>204</v>
      </c>
      <c r="CF8" s="24" t="s">
        <v>243</v>
      </c>
      <c r="CG8" s="24">
        <v>4</v>
      </c>
      <c r="CH8" s="24" t="s">
        <v>286</v>
      </c>
      <c r="CI8" s="24" t="s">
        <v>206</v>
      </c>
      <c r="CJ8" s="24" t="s">
        <v>136</v>
      </c>
      <c r="CK8" s="24" t="s">
        <v>279</v>
      </c>
      <c r="CL8" s="24">
        <v>4</v>
      </c>
      <c r="CM8" s="24">
        <v>4</v>
      </c>
      <c r="CN8" s="24">
        <v>4</v>
      </c>
      <c r="CO8" s="24">
        <v>4</v>
      </c>
      <c r="CP8" s="24">
        <v>5</v>
      </c>
      <c r="CQ8" s="24">
        <v>4</v>
      </c>
      <c r="CR8" s="24">
        <v>4</v>
      </c>
      <c r="CS8" s="24">
        <v>4</v>
      </c>
      <c r="CT8" s="24">
        <v>4</v>
      </c>
      <c r="CU8" s="24">
        <v>4</v>
      </c>
      <c r="CV8" s="24">
        <v>4</v>
      </c>
      <c r="CW8" s="24">
        <v>4</v>
      </c>
      <c r="CX8" s="24">
        <v>4</v>
      </c>
      <c r="CY8" s="24">
        <v>4</v>
      </c>
      <c r="CZ8" s="24">
        <v>4</v>
      </c>
      <c r="DA8" s="24">
        <v>4</v>
      </c>
      <c r="DB8" s="24" t="s">
        <v>247</v>
      </c>
      <c r="DC8" s="24">
        <v>4</v>
      </c>
      <c r="DD8" s="24" t="s">
        <v>495</v>
      </c>
      <c r="DE8" s="24" t="s">
        <v>136</v>
      </c>
      <c r="DF8" s="24">
        <v>4</v>
      </c>
      <c r="DG8" s="24">
        <v>4</v>
      </c>
      <c r="DH8" s="24">
        <v>4</v>
      </c>
      <c r="DI8" s="24" t="s">
        <v>496</v>
      </c>
      <c r="DJ8" s="24" t="s">
        <v>188</v>
      </c>
      <c r="DK8" s="24" t="s">
        <v>497</v>
      </c>
    </row>
    <row r="9" spans="1:115" ht="22.5" customHeight="1" x14ac:dyDescent="0.2">
      <c r="A9" s="23">
        <v>46062.453373912038</v>
      </c>
      <c r="B9" s="24" t="s">
        <v>498</v>
      </c>
      <c r="C9" s="24">
        <v>0</v>
      </c>
      <c r="D9" s="24" t="s">
        <v>499</v>
      </c>
      <c r="E9" s="24" t="s">
        <v>500</v>
      </c>
      <c r="F9" s="24" t="s">
        <v>163</v>
      </c>
      <c r="G9" s="24">
        <v>61</v>
      </c>
      <c r="H9" s="25" t="s">
        <v>501</v>
      </c>
      <c r="I9" s="24" t="s">
        <v>194</v>
      </c>
      <c r="J9" s="24" t="s">
        <v>133</v>
      </c>
      <c r="K9" s="24" t="s">
        <v>135</v>
      </c>
      <c r="M9" s="24" t="s">
        <v>156</v>
      </c>
      <c r="N9" s="24" t="s">
        <v>215</v>
      </c>
      <c r="O9" s="24" t="s">
        <v>360</v>
      </c>
      <c r="P9" s="24" t="s">
        <v>136</v>
      </c>
      <c r="Q9" s="24" t="s">
        <v>502</v>
      </c>
      <c r="R9" s="24" t="s">
        <v>199</v>
      </c>
      <c r="S9" s="24" t="s">
        <v>255</v>
      </c>
      <c r="T9" s="24" t="s">
        <v>136</v>
      </c>
      <c r="U9" s="24" t="s">
        <v>256</v>
      </c>
      <c r="V9" s="24" t="s">
        <v>199</v>
      </c>
      <c r="AI9" s="24" t="s">
        <v>144</v>
      </c>
      <c r="AJ9" s="24" t="s">
        <v>136</v>
      </c>
      <c r="AK9" s="24" t="s">
        <v>136</v>
      </c>
      <c r="AL9" s="24" t="s">
        <v>136</v>
      </c>
      <c r="AM9" s="24" t="s">
        <v>136</v>
      </c>
      <c r="AN9" s="24" t="s">
        <v>136</v>
      </c>
      <c r="AO9" s="24" t="s">
        <v>136</v>
      </c>
      <c r="AP9" s="24" t="s">
        <v>136</v>
      </c>
      <c r="AQ9" s="24" t="s">
        <v>156</v>
      </c>
      <c r="BN9" s="24" t="s">
        <v>167</v>
      </c>
      <c r="BO9" s="24" t="s">
        <v>136</v>
      </c>
      <c r="BP9" s="24" t="s">
        <v>503</v>
      </c>
      <c r="BR9" s="24" t="s">
        <v>146</v>
      </c>
      <c r="BS9" s="24" t="s">
        <v>169</v>
      </c>
      <c r="BT9" s="24" t="s">
        <v>148</v>
      </c>
      <c r="CB9" s="24" t="s">
        <v>267</v>
      </c>
      <c r="CC9" s="24" t="s">
        <v>150</v>
      </c>
      <c r="CD9" s="24" t="s">
        <v>229</v>
      </c>
      <c r="CE9" s="24" t="s">
        <v>204</v>
      </c>
      <c r="CF9" s="24" t="s">
        <v>153</v>
      </c>
      <c r="CG9" s="24">
        <v>4</v>
      </c>
      <c r="CH9" s="24" t="s">
        <v>154</v>
      </c>
      <c r="CI9" s="24" t="s">
        <v>365</v>
      </c>
      <c r="CJ9" s="24" t="s">
        <v>136</v>
      </c>
      <c r="CK9" s="24" t="s">
        <v>279</v>
      </c>
      <c r="CL9" s="24">
        <v>3</v>
      </c>
      <c r="CM9" s="24">
        <v>3</v>
      </c>
      <c r="CN9" s="24">
        <v>3</v>
      </c>
      <c r="CO9" s="24">
        <v>3</v>
      </c>
      <c r="CP9" s="24">
        <v>5</v>
      </c>
      <c r="CQ9" s="24">
        <v>3</v>
      </c>
      <c r="CR9" s="24">
        <v>4</v>
      </c>
      <c r="CS9" s="24">
        <v>3</v>
      </c>
      <c r="CT9" s="24">
        <v>3</v>
      </c>
      <c r="CU9" s="24">
        <v>3</v>
      </c>
      <c r="CV9" s="24">
        <v>3</v>
      </c>
      <c r="CW9" s="24">
        <v>3</v>
      </c>
      <c r="CX9" s="24">
        <v>3</v>
      </c>
      <c r="CY9" s="24">
        <v>3</v>
      </c>
      <c r="CZ9" s="24">
        <v>3</v>
      </c>
      <c r="DA9" s="24">
        <v>3</v>
      </c>
      <c r="DB9" s="24" t="s">
        <v>295</v>
      </c>
      <c r="DC9" s="24">
        <v>4</v>
      </c>
      <c r="DD9" s="24" t="s">
        <v>157</v>
      </c>
      <c r="DE9" s="24" t="s">
        <v>156</v>
      </c>
      <c r="DJ9" s="24" t="s">
        <v>159</v>
      </c>
      <c r="DK9" s="24" t="s">
        <v>156</v>
      </c>
    </row>
    <row r="10" spans="1:115" ht="22.5" customHeight="1" x14ac:dyDescent="0.2">
      <c r="A10" s="23">
        <v>46062.509012893519</v>
      </c>
      <c r="B10" s="24" t="s">
        <v>504</v>
      </c>
      <c r="C10" s="24">
        <v>0</v>
      </c>
      <c r="D10" s="24" t="s">
        <v>505</v>
      </c>
      <c r="E10" s="24" t="s">
        <v>506</v>
      </c>
      <c r="F10" s="24" t="s">
        <v>128</v>
      </c>
      <c r="G10" s="24">
        <v>60</v>
      </c>
      <c r="H10" s="25" t="s">
        <v>507</v>
      </c>
      <c r="I10" s="24" t="s">
        <v>194</v>
      </c>
      <c r="J10" s="24" t="s">
        <v>344</v>
      </c>
      <c r="K10" s="24" t="s">
        <v>135</v>
      </c>
      <c r="M10" s="24" t="s">
        <v>136</v>
      </c>
      <c r="N10" s="24" t="s">
        <v>240</v>
      </c>
      <c r="O10" s="24" t="s">
        <v>199</v>
      </c>
      <c r="P10" s="24" t="s">
        <v>156</v>
      </c>
      <c r="Q10" s="24" t="s">
        <v>215</v>
      </c>
      <c r="R10" s="24" t="s">
        <v>382</v>
      </c>
      <c r="S10" s="24" t="s">
        <v>266</v>
      </c>
      <c r="T10" s="24" t="s">
        <v>136</v>
      </c>
      <c r="U10" s="24" t="s">
        <v>241</v>
      </c>
      <c r="V10" s="24" t="s">
        <v>199</v>
      </c>
      <c r="AI10" s="24" t="s">
        <v>219</v>
      </c>
      <c r="AJ10" s="24" t="s">
        <v>156</v>
      </c>
      <c r="AK10" s="24" t="s">
        <v>136</v>
      </c>
      <c r="AL10" s="24" t="s">
        <v>136</v>
      </c>
      <c r="AM10" s="24" t="s">
        <v>156</v>
      </c>
      <c r="AN10" s="24" t="s">
        <v>136</v>
      </c>
      <c r="AO10" s="24" t="s">
        <v>136</v>
      </c>
      <c r="AP10" s="24" t="s">
        <v>136</v>
      </c>
      <c r="AQ10" s="24" t="s">
        <v>156</v>
      </c>
      <c r="BF10" s="24" t="s">
        <v>167</v>
      </c>
      <c r="BG10" s="24" t="s">
        <v>156</v>
      </c>
      <c r="BI10" s="24" t="s">
        <v>508</v>
      </c>
      <c r="BJ10" s="24" t="s">
        <v>156</v>
      </c>
      <c r="BK10" s="24" t="s">
        <v>221</v>
      </c>
      <c r="BL10" s="24" t="s">
        <v>509</v>
      </c>
      <c r="BM10" s="24" t="s">
        <v>510</v>
      </c>
      <c r="BN10" s="24" t="s">
        <v>511</v>
      </c>
      <c r="BO10" s="24" t="s">
        <v>156</v>
      </c>
      <c r="BR10" s="24" t="s">
        <v>226</v>
      </c>
      <c r="BS10" s="24" t="s">
        <v>147</v>
      </c>
      <c r="BT10" s="24" t="s">
        <v>227</v>
      </c>
      <c r="CB10" s="24" t="s">
        <v>149</v>
      </c>
      <c r="CC10" s="24" t="s">
        <v>150</v>
      </c>
      <c r="CD10" s="24" t="s">
        <v>151</v>
      </c>
      <c r="CE10" s="24" t="s">
        <v>204</v>
      </c>
      <c r="CF10" s="24" t="s">
        <v>243</v>
      </c>
      <c r="CG10" s="24">
        <v>4</v>
      </c>
      <c r="CH10" s="24" t="s">
        <v>244</v>
      </c>
      <c r="CI10" s="24" t="s">
        <v>398</v>
      </c>
      <c r="CJ10" s="24" t="s">
        <v>136</v>
      </c>
      <c r="CK10" s="24" t="s">
        <v>512</v>
      </c>
      <c r="CL10" s="24">
        <v>4</v>
      </c>
      <c r="CM10" s="24">
        <v>4</v>
      </c>
      <c r="CN10" s="24">
        <v>3</v>
      </c>
      <c r="CO10" s="24">
        <v>3</v>
      </c>
      <c r="CQ10" s="24">
        <v>3</v>
      </c>
      <c r="CR10" s="24">
        <v>3</v>
      </c>
      <c r="CS10" s="24">
        <v>3</v>
      </c>
      <c r="CT10" s="24">
        <v>3</v>
      </c>
      <c r="CU10" s="24">
        <v>3</v>
      </c>
      <c r="CV10" s="24">
        <v>3</v>
      </c>
      <c r="CW10" s="24">
        <v>3</v>
      </c>
      <c r="CX10" s="24">
        <v>3</v>
      </c>
      <c r="CY10" s="24">
        <v>3</v>
      </c>
      <c r="CZ10" s="24">
        <v>3</v>
      </c>
      <c r="DA10" s="24">
        <v>3</v>
      </c>
      <c r="DB10" s="24" t="s">
        <v>274</v>
      </c>
      <c r="DC10" s="24">
        <v>3</v>
      </c>
      <c r="DD10" s="24" t="s">
        <v>311</v>
      </c>
      <c r="DE10" s="24" t="s">
        <v>136</v>
      </c>
      <c r="DF10" s="24">
        <v>3</v>
      </c>
      <c r="DG10" s="24">
        <v>3</v>
      </c>
      <c r="DH10" s="24">
        <v>3</v>
      </c>
      <c r="DI10" s="24" t="s">
        <v>513</v>
      </c>
      <c r="DJ10" s="24" t="s">
        <v>210</v>
      </c>
      <c r="DK10" s="24" t="s">
        <v>137</v>
      </c>
    </row>
    <row r="11" spans="1:115" ht="22.5" customHeight="1" x14ac:dyDescent="0.2">
      <c r="A11" s="23">
        <v>46062.542400555554</v>
      </c>
      <c r="B11" s="24" t="s">
        <v>514</v>
      </c>
      <c r="C11" s="24">
        <v>0</v>
      </c>
      <c r="D11" s="24" t="s">
        <v>515</v>
      </c>
      <c r="E11" s="24" t="s">
        <v>516</v>
      </c>
      <c r="F11" s="24" t="s">
        <v>128</v>
      </c>
      <c r="G11" s="24">
        <v>61</v>
      </c>
      <c r="H11" s="25" t="s">
        <v>517</v>
      </c>
      <c r="I11" s="24" t="s">
        <v>194</v>
      </c>
      <c r="J11" s="24" t="s">
        <v>301</v>
      </c>
      <c r="K11" s="24" t="s">
        <v>345</v>
      </c>
      <c r="M11" s="24" t="s">
        <v>136</v>
      </c>
      <c r="N11" s="24" t="s">
        <v>425</v>
      </c>
      <c r="O11" s="24" t="s">
        <v>199</v>
      </c>
      <c r="P11" s="24" t="s">
        <v>156</v>
      </c>
      <c r="Q11" s="24" t="s">
        <v>215</v>
      </c>
      <c r="R11" s="24" t="s">
        <v>217</v>
      </c>
      <c r="S11" s="24" t="s">
        <v>266</v>
      </c>
      <c r="T11" s="24" t="s">
        <v>136</v>
      </c>
      <c r="U11" s="24" t="s">
        <v>356</v>
      </c>
      <c r="V11" s="24" t="s">
        <v>199</v>
      </c>
      <c r="AI11" s="24" t="s">
        <v>144</v>
      </c>
      <c r="AJ11" s="24" t="s">
        <v>136</v>
      </c>
      <c r="AK11" s="24" t="s">
        <v>136</v>
      </c>
      <c r="AL11" s="24" t="s">
        <v>136</v>
      </c>
      <c r="AM11" s="24" t="s">
        <v>136</v>
      </c>
      <c r="AN11" s="24" t="s">
        <v>136</v>
      </c>
      <c r="AO11" s="24" t="s">
        <v>136</v>
      </c>
      <c r="AP11" s="24" t="s">
        <v>136</v>
      </c>
      <c r="AQ11" s="24" t="s">
        <v>136</v>
      </c>
      <c r="BN11" s="24" t="s">
        <v>346</v>
      </c>
      <c r="BO11" s="24" t="s">
        <v>156</v>
      </c>
      <c r="BR11" s="24" t="s">
        <v>436</v>
      </c>
      <c r="BS11" s="24" t="s">
        <v>518</v>
      </c>
      <c r="BT11" s="24" t="s">
        <v>227</v>
      </c>
      <c r="CB11" s="24" t="s">
        <v>267</v>
      </c>
      <c r="CC11" s="24" t="s">
        <v>150</v>
      </c>
      <c r="CD11" s="24" t="s">
        <v>171</v>
      </c>
      <c r="CE11" s="24" t="s">
        <v>152</v>
      </c>
      <c r="CF11" s="24" t="s">
        <v>243</v>
      </c>
      <c r="CG11" s="24">
        <v>4</v>
      </c>
      <c r="CH11" s="24" t="s">
        <v>244</v>
      </c>
      <c r="CI11" s="24" t="s">
        <v>278</v>
      </c>
      <c r="CJ11" s="24" t="s">
        <v>156</v>
      </c>
      <c r="CK11" s="24" t="s">
        <v>328</v>
      </c>
      <c r="CL11" s="24">
        <v>1</v>
      </c>
      <c r="CM11" s="24">
        <v>1</v>
      </c>
      <c r="CN11" s="24">
        <v>1</v>
      </c>
      <c r="CO11" s="24">
        <v>1</v>
      </c>
      <c r="CP11" s="24">
        <v>3</v>
      </c>
      <c r="CQ11" s="24">
        <v>1</v>
      </c>
      <c r="CR11" s="24">
        <v>1</v>
      </c>
      <c r="CS11" s="24">
        <v>1</v>
      </c>
      <c r="CT11" s="24">
        <v>1</v>
      </c>
      <c r="CU11" s="24">
        <v>2</v>
      </c>
      <c r="CV11" s="24">
        <v>1</v>
      </c>
      <c r="CW11" s="24">
        <v>1</v>
      </c>
      <c r="CX11" s="24">
        <v>1</v>
      </c>
      <c r="CY11" s="24">
        <v>1</v>
      </c>
      <c r="CZ11" s="24">
        <v>1</v>
      </c>
      <c r="DA11" s="24">
        <v>1</v>
      </c>
      <c r="DB11" s="24" t="s">
        <v>413</v>
      </c>
      <c r="DC11" s="24">
        <v>2</v>
      </c>
      <c r="DD11" s="24" t="s">
        <v>519</v>
      </c>
      <c r="DE11" s="24" t="s">
        <v>156</v>
      </c>
      <c r="DJ11" s="24" t="s">
        <v>390</v>
      </c>
      <c r="DK11" s="24" t="s">
        <v>137</v>
      </c>
    </row>
    <row r="12" spans="1:115" ht="22.5" customHeight="1" x14ac:dyDescent="0.2">
      <c r="A12" s="23">
        <v>46062.546772268513</v>
      </c>
      <c r="B12" s="24" t="s">
        <v>520</v>
      </c>
      <c r="C12" s="24">
        <v>0</v>
      </c>
      <c r="D12" s="24" t="s">
        <v>521</v>
      </c>
      <c r="E12" s="24" t="s">
        <v>522</v>
      </c>
      <c r="F12" s="24" t="s">
        <v>163</v>
      </c>
      <c r="G12" s="24">
        <v>61</v>
      </c>
      <c r="H12" s="25" t="s">
        <v>523</v>
      </c>
      <c r="I12" s="24" t="s">
        <v>132</v>
      </c>
      <c r="J12" s="24" t="s">
        <v>301</v>
      </c>
      <c r="K12" s="24" t="s">
        <v>135</v>
      </c>
      <c r="M12" s="24" t="s">
        <v>136</v>
      </c>
      <c r="N12" s="24" t="s">
        <v>240</v>
      </c>
      <c r="O12" s="24" t="s">
        <v>216</v>
      </c>
      <c r="P12" s="24" t="s">
        <v>136</v>
      </c>
      <c r="Q12" s="24" t="s">
        <v>502</v>
      </c>
      <c r="R12" s="24" t="s">
        <v>270</v>
      </c>
      <c r="S12" s="24" t="s">
        <v>266</v>
      </c>
      <c r="T12" s="24" t="s">
        <v>136</v>
      </c>
      <c r="U12" s="24" t="s">
        <v>241</v>
      </c>
      <c r="V12" s="24" t="s">
        <v>199</v>
      </c>
      <c r="AI12" s="24" t="s">
        <v>304</v>
      </c>
      <c r="AJ12" s="24" t="s">
        <v>136</v>
      </c>
      <c r="AK12" s="24" t="s">
        <v>136</v>
      </c>
      <c r="AL12" s="24" t="s">
        <v>136</v>
      </c>
      <c r="AM12" s="24" t="s">
        <v>136</v>
      </c>
      <c r="AN12" s="24" t="s">
        <v>136</v>
      </c>
      <c r="AO12" s="24" t="s">
        <v>136</v>
      </c>
      <c r="AP12" s="24" t="s">
        <v>136</v>
      </c>
      <c r="AQ12" s="24" t="s">
        <v>136</v>
      </c>
      <c r="BU12" s="24" t="s">
        <v>305</v>
      </c>
      <c r="BV12" s="24" t="s">
        <v>136</v>
      </c>
      <c r="BW12" s="24" t="s">
        <v>524</v>
      </c>
      <c r="BY12" s="24" t="s">
        <v>376</v>
      </c>
      <c r="BZ12" s="24" t="s">
        <v>337</v>
      </c>
      <c r="CA12" s="24" t="s">
        <v>439</v>
      </c>
      <c r="CB12" s="24" t="s">
        <v>149</v>
      </c>
      <c r="CC12" s="24" t="s">
        <v>150</v>
      </c>
      <c r="CD12" s="24" t="s">
        <v>229</v>
      </c>
      <c r="CE12" s="24" t="s">
        <v>152</v>
      </c>
      <c r="CF12" s="24" t="s">
        <v>153</v>
      </c>
      <c r="CG12" s="24">
        <v>4</v>
      </c>
      <c r="CH12" s="24" t="s">
        <v>286</v>
      </c>
      <c r="CI12" s="24" t="s">
        <v>525</v>
      </c>
      <c r="CJ12" s="24" t="s">
        <v>136</v>
      </c>
      <c r="CK12" s="24" t="s">
        <v>279</v>
      </c>
      <c r="CL12" s="24">
        <v>2</v>
      </c>
      <c r="CM12" s="24">
        <v>2</v>
      </c>
      <c r="CN12" s="24">
        <v>2</v>
      </c>
      <c r="CO12" s="24">
        <v>4</v>
      </c>
      <c r="CP12" s="24">
        <v>3</v>
      </c>
      <c r="CQ12" s="24">
        <v>3</v>
      </c>
      <c r="CR12" s="24">
        <v>3</v>
      </c>
      <c r="CS12" s="24">
        <v>4</v>
      </c>
      <c r="CT12" s="24">
        <v>3</v>
      </c>
      <c r="CU12" s="24">
        <v>2</v>
      </c>
      <c r="CV12" s="24">
        <v>4</v>
      </c>
      <c r="CW12" s="24">
        <v>4</v>
      </c>
      <c r="CX12" s="24">
        <v>3</v>
      </c>
      <c r="CY12" s="24">
        <v>4</v>
      </c>
      <c r="CZ12" s="24">
        <v>4</v>
      </c>
      <c r="DA12" s="24">
        <v>1</v>
      </c>
      <c r="DB12" s="24" t="s">
        <v>295</v>
      </c>
      <c r="DC12" s="24">
        <v>3</v>
      </c>
      <c r="DD12" s="24" t="s">
        <v>261</v>
      </c>
      <c r="DE12" s="24" t="s">
        <v>136</v>
      </c>
      <c r="DF12" s="24">
        <v>3</v>
      </c>
      <c r="DG12" s="24">
        <v>3</v>
      </c>
      <c r="DH12" s="24">
        <v>3</v>
      </c>
      <c r="DI12" s="24" t="s">
        <v>526</v>
      </c>
      <c r="DJ12" s="24" t="s">
        <v>262</v>
      </c>
      <c r="DK12" s="24" t="s">
        <v>527</v>
      </c>
    </row>
    <row r="13" spans="1:115" ht="22.5" customHeight="1" x14ac:dyDescent="0.2">
      <c r="A13" s="23">
        <v>46062.568568310184</v>
      </c>
      <c r="B13" s="24" t="s">
        <v>282</v>
      </c>
      <c r="C13" s="24">
        <v>0</v>
      </c>
      <c r="D13" s="24" t="s">
        <v>283</v>
      </c>
      <c r="E13" s="24" t="s">
        <v>284</v>
      </c>
      <c r="F13" s="24" t="s">
        <v>163</v>
      </c>
      <c r="G13" s="24">
        <v>62</v>
      </c>
      <c r="H13" s="25" t="s">
        <v>285</v>
      </c>
      <c r="I13" s="24" t="s">
        <v>132</v>
      </c>
      <c r="J13" s="24" t="s">
        <v>133</v>
      </c>
      <c r="K13" s="24" t="s">
        <v>269</v>
      </c>
      <c r="M13" s="24" t="s">
        <v>136</v>
      </c>
      <c r="N13" s="24" t="s">
        <v>240</v>
      </c>
      <c r="O13" s="24" t="s">
        <v>199</v>
      </c>
      <c r="P13" s="24" t="s">
        <v>156</v>
      </c>
      <c r="Q13" s="24" t="s">
        <v>215</v>
      </c>
      <c r="R13" s="24" t="s">
        <v>270</v>
      </c>
      <c r="S13" s="24" t="s">
        <v>255</v>
      </c>
      <c r="T13" s="24" t="s">
        <v>136</v>
      </c>
      <c r="U13" s="24" t="s">
        <v>241</v>
      </c>
      <c r="V13" s="24" t="s">
        <v>199</v>
      </c>
      <c r="AI13" s="24" t="s">
        <v>144</v>
      </c>
      <c r="AJ13" s="24" t="s">
        <v>136</v>
      </c>
      <c r="AK13" s="24" t="s">
        <v>136</v>
      </c>
      <c r="AL13" s="24" t="s">
        <v>136</v>
      </c>
      <c r="AM13" s="24" t="s">
        <v>136</v>
      </c>
      <c r="AN13" s="24" t="s">
        <v>156</v>
      </c>
      <c r="AO13" s="24" t="s">
        <v>156</v>
      </c>
      <c r="AP13" s="24" t="s">
        <v>136</v>
      </c>
      <c r="AQ13" s="24" t="s">
        <v>156</v>
      </c>
      <c r="BN13" s="24" t="s">
        <v>167</v>
      </c>
      <c r="BO13" s="24" t="s">
        <v>136</v>
      </c>
      <c r="BP13" s="24" t="s">
        <v>528</v>
      </c>
      <c r="BR13" s="24" t="s">
        <v>226</v>
      </c>
      <c r="BS13" s="24" t="s">
        <v>169</v>
      </c>
      <c r="BT13" s="24" t="s">
        <v>148</v>
      </c>
      <c r="CB13" s="24" t="s">
        <v>267</v>
      </c>
      <c r="CC13" s="24" t="s">
        <v>242</v>
      </c>
      <c r="CD13" s="24" t="s">
        <v>151</v>
      </c>
      <c r="CE13" s="24" t="s">
        <v>152</v>
      </c>
      <c r="CF13" s="24" t="s">
        <v>153</v>
      </c>
      <c r="CG13" s="24">
        <v>4</v>
      </c>
      <c r="CH13" s="24" t="s">
        <v>154</v>
      </c>
      <c r="CI13" s="24" t="s">
        <v>206</v>
      </c>
      <c r="CJ13" s="24" t="s">
        <v>136</v>
      </c>
      <c r="CK13" s="24" t="s">
        <v>438</v>
      </c>
      <c r="CL13" s="24">
        <v>1</v>
      </c>
      <c r="CM13" s="24">
        <v>3</v>
      </c>
      <c r="CN13" s="24">
        <v>2</v>
      </c>
      <c r="CO13" s="24">
        <v>3</v>
      </c>
      <c r="CP13" s="24">
        <v>3</v>
      </c>
      <c r="CQ13" s="24">
        <v>2</v>
      </c>
      <c r="CR13" s="24">
        <v>2</v>
      </c>
      <c r="CS13" s="24">
        <v>2</v>
      </c>
      <c r="CT13" s="24">
        <v>4</v>
      </c>
      <c r="CU13" s="24">
        <v>4</v>
      </c>
      <c r="CV13" s="24">
        <v>3</v>
      </c>
      <c r="CW13" s="24">
        <v>3</v>
      </c>
      <c r="CX13" s="24">
        <v>2</v>
      </c>
      <c r="CY13" s="24">
        <v>3</v>
      </c>
      <c r="CZ13" s="24">
        <v>3</v>
      </c>
      <c r="DA13" s="24">
        <v>3</v>
      </c>
      <c r="DB13" s="24" t="s">
        <v>399</v>
      </c>
      <c r="DC13" s="24">
        <v>4</v>
      </c>
      <c r="DD13" s="24" t="s">
        <v>289</v>
      </c>
      <c r="DE13" s="24" t="s">
        <v>136</v>
      </c>
      <c r="DF13" s="24">
        <v>3</v>
      </c>
      <c r="DG13" s="24">
        <v>3</v>
      </c>
      <c r="DH13" s="24">
        <v>3</v>
      </c>
      <c r="DI13" s="24" t="s">
        <v>529</v>
      </c>
      <c r="DJ13" s="24" t="s">
        <v>210</v>
      </c>
      <c r="DK13" s="24" t="s">
        <v>530</v>
      </c>
    </row>
    <row r="14" spans="1:115" ht="22.5" customHeight="1" x14ac:dyDescent="0.2">
      <c r="A14" s="23">
        <v>46062.574451932873</v>
      </c>
      <c r="B14" s="24" t="s">
        <v>531</v>
      </c>
      <c r="C14" s="24">
        <v>0</v>
      </c>
      <c r="D14" s="24" t="s">
        <v>532</v>
      </c>
      <c r="E14" s="24" t="s">
        <v>533</v>
      </c>
      <c r="F14" s="24" t="s">
        <v>128</v>
      </c>
      <c r="G14" s="24">
        <v>61</v>
      </c>
      <c r="H14" s="25" t="s">
        <v>534</v>
      </c>
      <c r="I14" s="24" t="s">
        <v>194</v>
      </c>
      <c r="J14" s="24" t="s">
        <v>133</v>
      </c>
      <c r="K14" s="24" t="s">
        <v>135</v>
      </c>
      <c r="M14" s="24" t="s">
        <v>136</v>
      </c>
      <c r="N14" s="24" t="s">
        <v>198</v>
      </c>
      <c r="O14" s="24" t="s">
        <v>199</v>
      </c>
      <c r="P14" s="24" t="s">
        <v>156</v>
      </c>
      <c r="Q14" s="24" t="s">
        <v>215</v>
      </c>
      <c r="R14" s="24" t="s">
        <v>443</v>
      </c>
      <c r="S14" s="24" t="s">
        <v>266</v>
      </c>
      <c r="T14" s="24" t="s">
        <v>136</v>
      </c>
      <c r="U14" s="24" t="s">
        <v>356</v>
      </c>
      <c r="V14" s="24" t="s">
        <v>199</v>
      </c>
      <c r="AI14" s="24" t="s">
        <v>304</v>
      </c>
      <c r="AJ14" s="24" t="s">
        <v>136</v>
      </c>
      <c r="AK14" s="24" t="s">
        <v>136</v>
      </c>
      <c r="AL14" s="24" t="s">
        <v>136</v>
      </c>
      <c r="AM14" s="24" t="s">
        <v>136</v>
      </c>
      <c r="AN14" s="24" t="s">
        <v>136</v>
      </c>
      <c r="AO14" s="24" t="s">
        <v>136</v>
      </c>
      <c r="AP14" s="24" t="s">
        <v>136</v>
      </c>
      <c r="AQ14" s="24" t="s">
        <v>136</v>
      </c>
      <c r="BU14" s="24" t="s">
        <v>346</v>
      </c>
      <c r="BV14" s="24" t="s">
        <v>136</v>
      </c>
      <c r="BW14" s="24" t="s">
        <v>535</v>
      </c>
      <c r="BY14" s="24" t="s">
        <v>536</v>
      </c>
      <c r="BZ14" s="24" t="s">
        <v>307</v>
      </c>
      <c r="CA14" s="24" t="s">
        <v>308</v>
      </c>
      <c r="CB14" s="24" t="s">
        <v>149</v>
      </c>
      <c r="CC14" s="24" t="s">
        <v>150</v>
      </c>
      <c r="CD14" s="24" t="s">
        <v>229</v>
      </c>
      <c r="CE14" s="24" t="s">
        <v>152</v>
      </c>
      <c r="CF14" s="24" t="s">
        <v>153</v>
      </c>
      <c r="CG14" s="24">
        <v>4</v>
      </c>
      <c r="CH14" s="24" t="s">
        <v>286</v>
      </c>
      <c r="CI14" s="24" t="s">
        <v>309</v>
      </c>
      <c r="CJ14" s="24" t="s">
        <v>136</v>
      </c>
      <c r="CK14" s="24" t="s">
        <v>537</v>
      </c>
      <c r="CL14" s="24">
        <v>3</v>
      </c>
      <c r="CM14" s="24">
        <v>4</v>
      </c>
      <c r="CN14" s="24">
        <v>4</v>
      </c>
      <c r="CO14" s="24">
        <v>3</v>
      </c>
      <c r="CP14" s="24">
        <v>3</v>
      </c>
      <c r="CQ14" s="24">
        <v>2</v>
      </c>
      <c r="CR14" s="24">
        <v>3</v>
      </c>
      <c r="CS14" s="24">
        <v>3</v>
      </c>
      <c r="CT14" s="24">
        <v>2</v>
      </c>
      <c r="CU14" s="24">
        <v>2</v>
      </c>
      <c r="CV14" s="24">
        <v>2</v>
      </c>
      <c r="CW14" s="24">
        <v>3</v>
      </c>
      <c r="CX14" s="24">
        <v>4</v>
      </c>
      <c r="CY14" s="24">
        <v>3</v>
      </c>
      <c r="CZ14" s="24">
        <v>4</v>
      </c>
      <c r="DA14" s="24">
        <v>3</v>
      </c>
      <c r="DB14" s="24" t="s">
        <v>247</v>
      </c>
      <c r="DC14" s="24">
        <v>3</v>
      </c>
      <c r="DD14" s="24" t="s">
        <v>408</v>
      </c>
      <c r="DE14" s="24" t="s">
        <v>136</v>
      </c>
      <c r="DF14" s="24">
        <v>4</v>
      </c>
      <c r="DG14" s="24">
        <v>4</v>
      </c>
      <c r="DH14" s="24">
        <v>3</v>
      </c>
      <c r="DI14" s="24" t="s">
        <v>538</v>
      </c>
      <c r="DJ14" s="24" t="s">
        <v>210</v>
      </c>
      <c r="DK14" s="24" t="s">
        <v>539</v>
      </c>
    </row>
    <row r="15" spans="1:115" ht="22.5" customHeight="1" x14ac:dyDescent="0.2">
      <c r="A15" s="23">
        <v>46062.591719560187</v>
      </c>
      <c r="B15" s="24" t="s">
        <v>540</v>
      </c>
      <c r="C15" s="24">
        <v>0</v>
      </c>
      <c r="D15" s="24" t="s">
        <v>541</v>
      </c>
      <c r="E15" s="24" t="s">
        <v>542</v>
      </c>
      <c r="F15" s="24" t="s">
        <v>163</v>
      </c>
      <c r="G15" s="24">
        <v>61</v>
      </c>
      <c r="H15" s="25" t="s">
        <v>543</v>
      </c>
      <c r="I15" s="24" t="s">
        <v>275</v>
      </c>
      <c r="J15" s="24" t="s">
        <v>133</v>
      </c>
      <c r="K15" s="24" t="s">
        <v>135</v>
      </c>
      <c r="M15" s="24" t="s">
        <v>136</v>
      </c>
      <c r="N15" s="24" t="s">
        <v>425</v>
      </c>
      <c r="O15" s="24" t="s">
        <v>199</v>
      </c>
      <c r="P15" s="24" t="s">
        <v>156</v>
      </c>
      <c r="Q15" s="24" t="s">
        <v>215</v>
      </c>
      <c r="R15" s="24" t="s">
        <v>270</v>
      </c>
      <c r="S15" s="24" t="s">
        <v>544</v>
      </c>
      <c r="T15" s="24" t="s">
        <v>136</v>
      </c>
      <c r="U15" s="24" t="s">
        <v>356</v>
      </c>
      <c r="V15" s="24" t="s">
        <v>199</v>
      </c>
      <c r="AI15" s="24" t="s">
        <v>144</v>
      </c>
      <c r="AJ15" s="24" t="s">
        <v>136</v>
      </c>
      <c r="AK15" s="24" t="s">
        <v>136</v>
      </c>
      <c r="AL15" s="24" t="s">
        <v>136</v>
      </c>
      <c r="AM15" s="24" t="s">
        <v>156</v>
      </c>
      <c r="AN15" s="24" t="s">
        <v>136</v>
      </c>
      <c r="AO15" s="24" t="s">
        <v>136</v>
      </c>
      <c r="AP15" s="24" t="s">
        <v>136</v>
      </c>
      <c r="AQ15" s="24" t="s">
        <v>136</v>
      </c>
      <c r="BN15" s="24" t="s">
        <v>167</v>
      </c>
      <c r="BO15" s="24" t="s">
        <v>156</v>
      </c>
      <c r="BQ15" s="24" t="s">
        <v>545</v>
      </c>
      <c r="BR15" s="24" t="s">
        <v>168</v>
      </c>
      <c r="BS15" s="24" t="s">
        <v>169</v>
      </c>
      <c r="BT15" s="24" t="s">
        <v>148</v>
      </c>
      <c r="CB15" s="24" t="s">
        <v>267</v>
      </c>
      <c r="CC15" s="24" t="s">
        <v>150</v>
      </c>
      <c r="CD15" s="24" t="s">
        <v>229</v>
      </c>
      <c r="CE15" s="24" t="s">
        <v>204</v>
      </c>
      <c r="CF15" s="24" t="s">
        <v>153</v>
      </c>
      <c r="CG15" s="24">
        <v>4</v>
      </c>
      <c r="CH15" s="24" t="s">
        <v>154</v>
      </c>
      <c r="CI15" s="24" t="s">
        <v>155</v>
      </c>
      <c r="CJ15" s="24" t="s">
        <v>136</v>
      </c>
      <c r="CK15" s="24" t="s">
        <v>279</v>
      </c>
      <c r="CL15" s="24">
        <v>4</v>
      </c>
      <c r="CM15" s="24">
        <v>4</v>
      </c>
      <c r="CN15" s="24">
        <v>2</v>
      </c>
      <c r="CO15" s="24">
        <v>4</v>
      </c>
      <c r="CP15" s="24">
        <v>3</v>
      </c>
      <c r="CQ15" s="24">
        <v>2</v>
      </c>
      <c r="CR15" s="24">
        <v>2</v>
      </c>
      <c r="CS15" s="24">
        <v>4</v>
      </c>
      <c r="CT15" s="24">
        <v>4</v>
      </c>
      <c r="CU15" s="24">
        <v>2</v>
      </c>
      <c r="CV15" s="24">
        <v>4</v>
      </c>
      <c r="CW15" s="24">
        <v>2</v>
      </c>
      <c r="CX15" s="24">
        <v>2</v>
      </c>
      <c r="CY15" s="24">
        <v>4</v>
      </c>
      <c r="CZ15" s="24">
        <v>4</v>
      </c>
      <c r="DA15" s="24">
        <v>4</v>
      </c>
      <c r="DB15" s="24" t="s">
        <v>295</v>
      </c>
      <c r="DC15" s="24">
        <v>2</v>
      </c>
      <c r="DD15" s="24" t="s">
        <v>358</v>
      </c>
      <c r="DE15" s="24" t="s">
        <v>156</v>
      </c>
      <c r="DJ15" s="24" t="s">
        <v>262</v>
      </c>
      <c r="DK15" s="24" t="s">
        <v>546</v>
      </c>
    </row>
    <row r="16" spans="1:115" ht="22.5" customHeight="1" x14ac:dyDescent="0.2">
      <c r="A16" s="23">
        <v>46062.595512187501</v>
      </c>
      <c r="B16" s="24" t="s">
        <v>547</v>
      </c>
      <c r="C16" s="24">
        <v>0</v>
      </c>
      <c r="D16" s="24" t="s">
        <v>548</v>
      </c>
      <c r="E16" s="24" t="s">
        <v>549</v>
      </c>
      <c r="F16" s="24" t="s">
        <v>128</v>
      </c>
      <c r="G16" s="24">
        <v>61</v>
      </c>
      <c r="H16" s="25" t="s">
        <v>550</v>
      </c>
      <c r="I16" s="24" t="s">
        <v>132</v>
      </c>
      <c r="J16" s="24" t="s">
        <v>301</v>
      </c>
      <c r="K16" s="24" t="s">
        <v>135</v>
      </c>
      <c r="M16" s="24" t="s">
        <v>156</v>
      </c>
      <c r="N16" s="24" t="s">
        <v>215</v>
      </c>
      <c r="O16" s="24" t="s">
        <v>551</v>
      </c>
      <c r="P16" s="24" t="s">
        <v>136</v>
      </c>
      <c r="Q16" s="24" t="s">
        <v>502</v>
      </c>
      <c r="R16" s="24" t="s">
        <v>199</v>
      </c>
      <c r="S16" s="24" t="s">
        <v>255</v>
      </c>
      <c r="T16" s="24" t="s">
        <v>136</v>
      </c>
      <c r="U16" s="24" t="s">
        <v>241</v>
      </c>
      <c r="V16" s="24" t="s">
        <v>199</v>
      </c>
      <c r="AI16" s="24" t="s">
        <v>144</v>
      </c>
      <c r="AJ16" s="24" t="s">
        <v>136</v>
      </c>
      <c r="AK16" s="24" t="s">
        <v>136</v>
      </c>
      <c r="AL16" s="24" t="s">
        <v>136</v>
      </c>
      <c r="AM16" s="24" t="s">
        <v>136</v>
      </c>
      <c r="AN16" s="24" t="s">
        <v>136</v>
      </c>
      <c r="AO16" s="24" t="s">
        <v>136</v>
      </c>
      <c r="AP16" s="24" t="s">
        <v>136</v>
      </c>
      <c r="AQ16" s="24" t="s">
        <v>136</v>
      </c>
      <c r="BN16" s="24" t="s">
        <v>552</v>
      </c>
      <c r="BO16" s="24" t="s">
        <v>136</v>
      </c>
      <c r="BP16" s="24" t="s">
        <v>553</v>
      </c>
      <c r="BR16" s="24" t="s">
        <v>168</v>
      </c>
      <c r="BS16" s="24" t="s">
        <v>169</v>
      </c>
      <c r="BT16" s="24" t="s">
        <v>554</v>
      </c>
      <c r="CB16" s="24" t="s">
        <v>149</v>
      </c>
      <c r="CC16" s="24" t="s">
        <v>242</v>
      </c>
      <c r="CD16" s="24" t="s">
        <v>151</v>
      </c>
      <c r="CE16" s="24" t="s">
        <v>204</v>
      </c>
      <c r="CF16" s="24" t="s">
        <v>555</v>
      </c>
      <c r="CG16" s="24">
        <v>4</v>
      </c>
      <c r="CH16" s="24" t="s">
        <v>286</v>
      </c>
      <c r="CI16" s="24" t="s">
        <v>357</v>
      </c>
      <c r="CJ16" s="24" t="s">
        <v>136</v>
      </c>
      <c r="CK16" s="24" t="s">
        <v>246</v>
      </c>
      <c r="CL16" s="24">
        <v>3</v>
      </c>
      <c r="CM16" s="24">
        <v>3</v>
      </c>
      <c r="CN16" s="24">
        <v>3</v>
      </c>
      <c r="CO16" s="24">
        <v>3</v>
      </c>
      <c r="CP16" s="24">
        <v>4</v>
      </c>
      <c r="CQ16" s="24">
        <v>2</v>
      </c>
      <c r="CR16" s="24">
        <v>2</v>
      </c>
      <c r="CS16" s="24">
        <v>2</v>
      </c>
      <c r="CT16" s="24">
        <v>1</v>
      </c>
      <c r="CU16" s="24">
        <v>2</v>
      </c>
      <c r="CV16" s="24">
        <v>3</v>
      </c>
      <c r="CW16" s="24">
        <v>4</v>
      </c>
      <c r="CX16" s="24">
        <v>2</v>
      </c>
      <c r="CY16" s="24">
        <v>3</v>
      </c>
      <c r="CZ16" s="24">
        <v>2</v>
      </c>
      <c r="DA16" s="24">
        <v>4</v>
      </c>
      <c r="DB16" s="24" t="s">
        <v>315</v>
      </c>
      <c r="DC16" s="24">
        <v>2</v>
      </c>
      <c r="DD16" s="24" t="s">
        <v>353</v>
      </c>
      <c r="DE16" s="24" t="s">
        <v>136</v>
      </c>
      <c r="DF16" s="24">
        <v>2</v>
      </c>
      <c r="DG16" s="24">
        <v>2</v>
      </c>
      <c r="DH16" s="24">
        <v>1</v>
      </c>
      <c r="DI16" s="24" t="s">
        <v>364</v>
      </c>
      <c r="DJ16" s="24" t="s">
        <v>188</v>
      </c>
      <c r="DK16" s="24" t="s">
        <v>556</v>
      </c>
    </row>
    <row r="17" spans="1:115" ht="22.5" customHeight="1" x14ac:dyDescent="0.2">
      <c r="A17" s="23">
        <v>46062.597648842595</v>
      </c>
      <c r="B17" s="24" t="s">
        <v>557</v>
      </c>
      <c r="C17" s="24">
        <v>0</v>
      </c>
      <c r="D17" s="24" t="s">
        <v>558</v>
      </c>
      <c r="E17" s="24" t="s">
        <v>559</v>
      </c>
      <c r="F17" s="24" t="s">
        <v>163</v>
      </c>
      <c r="G17" s="24">
        <v>61</v>
      </c>
      <c r="H17" s="25" t="s">
        <v>560</v>
      </c>
      <c r="I17" s="24" t="s">
        <v>194</v>
      </c>
      <c r="J17" s="24" t="s">
        <v>133</v>
      </c>
      <c r="K17" s="24" t="s">
        <v>269</v>
      </c>
      <c r="M17" s="24" t="s">
        <v>136</v>
      </c>
      <c r="N17" s="24" t="s">
        <v>240</v>
      </c>
      <c r="O17" s="24" t="s">
        <v>199</v>
      </c>
      <c r="P17" s="24" t="s">
        <v>136</v>
      </c>
      <c r="Q17" s="24" t="s">
        <v>254</v>
      </c>
      <c r="R17" s="24" t="s">
        <v>199</v>
      </c>
      <c r="S17" s="24" t="s">
        <v>277</v>
      </c>
      <c r="T17" s="24" t="s">
        <v>136</v>
      </c>
      <c r="U17" s="24" t="s">
        <v>256</v>
      </c>
      <c r="V17" s="24" t="s">
        <v>199</v>
      </c>
      <c r="AI17" s="24" t="s">
        <v>144</v>
      </c>
      <c r="AJ17" s="24" t="s">
        <v>136</v>
      </c>
      <c r="AK17" s="24" t="s">
        <v>136</v>
      </c>
      <c r="AL17" s="24" t="s">
        <v>136</v>
      </c>
      <c r="AM17" s="24" t="s">
        <v>156</v>
      </c>
      <c r="AN17" s="24" t="s">
        <v>136</v>
      </c>
      <c r="AO17" s="24" t="s">
        <v>136</v>
      </c>
      <c r="AP17" s="24" t="s">
        <v>136</v>
      </c>
      <c r="AQ17" s="24" t="s">
        <v>156</v>
      </c>
      <c r="BN17" s="24" t="s">
        <v>167</v>
      </c>
      <c r="BO17" s="24" t="s">
        <v>136</v>
      </c>
      <c r="BP17" s="24" t="s">
        <v>561</v>
      </c>
      <c r="BR17" s="24" t="s">
        <v>146</v>
      </c>
      <c r="BS17" s="24" t="s">
        <v>169</v>
      </c>
      <c r="BT17" s="24" t="s">
        <v>170</v>
      </c>
      <c r="CB17" s="24" t="s">
        <v>228</v>
      </c>
      <c r="CC17" s="24" t="s">
        <v>242</v>
      </c>
      <c r="CD17" s="24" t="s">
        <v>171</v>
      </c>
      <c r="CE17" s="24" t="s">
        <v>152</v>
      </c>
      <c r="CF17" s="24" t="s">
        <v>153</v>
      </c>
      <c r="CG17" s="24">
        <v>3</v>
      </c>
      <c r="CH17" s="24" t="s">
        <v>154</v>
      </c>
      <c r="CI17" s="24" t="s">
        <v>259</v>
      </c>
      <c r="CJ17" s="24" t="s">
        <v>136</v>
      </c>
      <c r="CK17" s="24" t="s">
        <v>279</v>
      </c>
      <c r="CL17" s="24">
        <v>3</v>
      </c>
      <c r="CM17" s="24">
        <v>3</v>
      </c>
      <c r="CN17" s="24">
        <v>3</v>
      </c>
      <c r="CO17" s="24">
        <v>3</v>
      </c>
      <c r="CP17" s="24">
        <v>4</v>
      </c>
      <c r="CQ17" s="24">
        <v>3</v>
      </c>
      <c r="CR17" s="24">
        <v>3</v>
      </c>
      <c r="CS17" s="24">
        <v>3</v>
      </c>
      <c r="CT17" s="24">
        <v>3</v>
      </c>
      <c r="CU17" s="24">
        <v>3</v>
      </c>
      <c r="CV17" s="24">
        <v>3</v>
      </c>
      <c r="CW17" s="24">
        <v>3</v>
      </c>
      <c r="CX17" s="24">
        <v>3</v>
      </c>
      <c r="CY17" s="24">
        <v>3</v>
      </c>
      <c r="CZ17" s="24">
        <v>3</v>
      </c>
      <c r="DA17" s="24">
        <v>3</v>
      </c>
      <c r="DB17" s="24" t="s">
        <v>562</v>
      </c>
      <c r="DC17" s="24">
        <v>3</v>
      </c>
      <c r="DD17" s="24" t="s">
        <v>563</v>
      </c>
      <c r="DE17" s="24" t="s">
        <v>156</v>
      </c>
      <c r="DJ17" s="24" t="s">
        <v>442</v>
      </c>
      <c r="DK17" s="24" t="s">
        <v>137</v>
      </c>
    </row>
    <row r="18" spans="1:115" ht="22.5" customHeight="1" x14ac:dyDescent="0.2">
      <c r="A18" s="23">
        <v>46062.609694675921</v>
      </c>
      <c r="B18" s="24" t="s">
        <v>564</v>
      </c>
      <c r="C18" s="24">
        <v>0</v>
      </c>
      <c r="D18" s="24" t="s">
        <v>565</v>
      </c>
      <c r="E18" s="24" t="s">
        <v>566</v>
      </c>
      <c r="F18" s="24" t="s">
        <v>128</v>
      </c>
      <c r="G18" s="24">
        <v>62</v>
      </c>
      <c r="H18" s="25" t="s">
        <v>567</v>
      </c>
      <c r="I18" s="24" t="s">
        <v>132</v>
      </c>
      <c r="J18" s="24" t="s">
        <v>133</v>
      </c>
      <c r="K18" s="24" t="s">
        <v>135</v>
      </c>
      <c r="M18" s="24" t="s">
        <v>156</v>
      </c>
      <c r="N18" s="24" t="s">
        <v>215</v>
      </c>
      <c r="O18" s="24" t="s">
        <v>360</v>
      </c>
      <c r="P18" s="24" t="s">
        <v>136</v>
      </c>
      <c r="Q18" s="24" t="s">
        <v>303</v>
      </c>
      <c r="R18" s="24" t="s">
        <v>199</v>
      </c>
      <c r="S18" s="24" t="s">
        <v>218</v>
      </c>
      <c r="T18" s="24" t="s">
        <v>136</v>
      </c>
      <c r="U18" s="24" t="s">
        <v>241</v>
      </c>
      <c r="V18" s="24" t="s">
        <v>199</v>
      </c>
      <c r="AI18" s="24" t="s">
        <v>203</v>
      </c>
      <c r="AJ18" s="24" t="s">
        <v>136</v>
      </c>
      <c r="AK18" s="24" t="s">
        <v>136</v>
      </c>
      <c r="AL18" s="24" t="s">
        <v>136</v>
      </c>
      <c r="AM18" s="24" t="s">
        <v>136</v>
      </c>
      <c r="AN18" s="24" t="s">
        <v>136</v>
      </c>
      <c r="AO18" s="24" t="s">
        <v>136</v>
      </c>
      <c r="AP18" s="24" t="s">
        <v>136</v>
      </c>
      <c r="AQ18" s="24" t="s">
        <v>136</v>
      </c>
      <c r="CB18" s="24" t="s">
        <v>149</v>
      </c>
      <c r="CC18" s="24" t="s">
        <v>242</v>
      </c>
      <c r="CD18" s="24" t="s">
        <v>151</v>
      </c>
      <c r="CE18" s="24" t="s">
        <v>152</v>
      </c>
      <c r="CF18" s="24" t="s">
        <v>243</v>
      </c>
      <c r="CG18" s="24">
        <v>4</v>
      </c>
      <c r="CH18" s="24" t="s">
        <v>172</v>
      </c>
      <c r="CI18" s="24" t="s">
        <v>398</v>
      </c>
      <c r="CJ18" s="24" t="s">
        <v>136</v>
      </c>
      <c r="CK18" s="24" t="s">
        <v>207</v>
      </c>
      <c r="CL18" s="24">
        <v>2</v>
      </c>
      <c r="CM18" s="24">
        <v>1</v>
      </c>
      <c r="CN18" s="24">
        <v>3</v>
      </c>
      <c r="CO18" s="24">
        <v>4</v>
      </c>
      <c r="CP18" s="24">
        <v>2</v>
      </c>
      <c r="CQ18" s="24">
        <v>2</v>
      </c>
      <c r="CR18" s="24">
        <v>2</v>
      </c>
      <c r="CS18" s="24">
        <v>4</v>
      </c>
      <c r="CT18" s="24">
        <v>2</v>
      </c>
      <c r="CU18" s="24">
        <v>2</v>
      </c>
      <c r="CV18" s="24">
        <v>3</v>
      </c>
      <c r="CW18" s="24">
        <v>2</v>
      </c>
      <c r="CX18" s="24">
        <v>3</v>
      </c>
      <c r="CY18" s="24">
        <v>4</v>
      </c>
      <c r="CZ18" s="24">
        <v>2</v>
      </c>
      <c r="DA18" s="24">
        <v>2</v>
      </c>
      <c r="DB18" s="24" t="s">
        <v>568</v>
      </c>
      <c r="DC18" s="24">
        <v>3</v>
      </c>
      <c r="DD18" s="24" t="s">
        <v>569</v>
      </c>
      <c r="DE18" s="24" t="s">
        <v>156</v>
      </c>
      <c r="DJ18" s="24" t="s">
        <v>390</v>
      </c>
      <c r="DK18" s="24" t="s">
        <v>137</v>
      </c>
    </row>
    <row r="19" spans="1:115" ht="22.5" customHeight="1" x14ac:dyDescent="0.2">
      <c r="A19" s="23">
        <v>46062.610558622684</v>
      </c>
      <c r="B19" s="24" t="s">
        <v>570</v>
      </c>
      <c r="C19" s="24">
        <v>0</v>
      </c>
      <c r="D19" s="24" t="s">
        <v>571</v>
      </c>
      <c r="E19" s="24" t="s">
        <v>572</v>
      </c>
      <c r="F19" s="24" t="s">
        <v>163</v>
      </c>
      <c r="G19" s="24">
        <v>61</v>
      </c>
      <c r="H19" s="25" t="s">
        <v>573</v>
      </c>
      <c r="I19" s="24" t="s">
        <v>194</v>
      </c>
      <c r="J19" s="24" t="s">
        <v>133</v>
      </c>
      <c r="K19" s="24" t="s">
        <v>345</v>
      </c>
      <c r="M19" s="24" t="s">
        <v>156</v>
      </c>
      <c r="N19" s="24" t="s">
        <v>215</v>
      </c>
      <c r="O19" s="24" t="s">
        <v>360</v>
      </c>
      <c r="P19" s="24" t="s">
        <v>136</v>
      </c>
      <c r="Q19" s="24" t="s">
        <v>502</v>
      </c>
      <c r="R19" s="24" t="s">
        <v>199</v>
      </c>
      <c r="S19" s="24" t="s">
        <v>313</v>
      </c>
      <c r="T19" s="24" t="s">
        <v>136</v>
      </c>
      <c r="U19" s="24" t="s">
        <v>356</v>
      </c>
      <c r="V19" s="24" t="s">
        <v>199</v>
      </c>
      <c r="AI19" s="24" t="s">
        <v>304</v>
      </c>
      <c r="AJ19" s="24" t="s">
        <v>156</v>
      </c>
      <c r="AK19" s="24" t="s">
        <v>156</v>
      </c>
      <c r="AL19" s="24" t="s">
        <v>136</v>
      </c>
      <c r="AM19" s="24" t="s">
        <v>136</v>
      </c>
      <c r="AN19" s="24" t="s">
        <v>136</v>
      </c>
      <c r="AO19" s="24" t="s">
        <v>136</v>
      </c>
      <c r="AP19" s="24" t="s">
        <v>136</v>
      </c>
      <c r="AQ19" s="24" t="s">
        <v>136</v>
      </c>
      <c r="BU19" s="24" t="s">
        <v>305</v>
      </c>
      <c r="BV19" s="24" t="s">
        <v>156</v>
      </c>
      <c r="BY19" s="24" t="s">
        <v>376</v>
      </c>
      <c r="BZ19" s="24" t="s">
        <v>337</v>
      </c>
      <c r="CA19" s="24" t="s">
        <v>428</v>
      </c>
      <c r="CB19" s="24" t="s">
        <v>149</v>
      </c>
      <c r="CC19" s="24" t="s">
        <v>150</v>
      </c>
      <c r="CD19" s="24" t="s">
        <v>151</v>
      </c>
      <c r="CE19" s="24" t="s">
        <v>152</v>
      </c>
      <c r="CF19" s="24" t="s">
        <v>153</v>
      </c>
      <c r="CG19" s="24">
        <v>4</v>
      </c>
      <c r="CH19" s="24" t="s">
        <v>244</v>
      </c>
      <c r="CI19" s="24" t="s">
        <v>407</v>
      </c>
      <c r="CJ19" s="24" t="s">
        <v>136</v>
      </c>
      <c r="CK19" s="24" t="s">
        <v>430</v>
      </c>
      <c r="CL19" s="24">
        <v>3</v>
      </c>
      <c r="CM19" s="24">
        <v>3</v>
      </c>
      <c r="CN19" s="24">
        <v>3</v>
      </c>
      <c r="CO19" s="24">
        <v>3</v>
      </c>
      <c r="CP19" s="24">
        <v>4</v>
      </c>
      <c r="CQ19" s="24">
        <v>3</v>
      </c>
      <c r="CR19" s="24">
        <v>3</v>
      </c>
      <c r="CS19" s="24">
        <v>2</v>
      </c>
      <c r="CT19" s="24">
        <v>2</v>
      </c>
      <c r="CU19" s="24">
        <v>2</v>
      </c>
      <c r="CV19" s="24">
        <v>3</v>
      </c>
      <c r="CW19" s="24">
        <v>3</v>
      </c>
      <c r="CX19" s="24">
        <v>3</v>
      </c>
      <c r="CY19" s="24">
        <v>3</v>
      </c>
      <c r="CZ19" s="24">
        <v>1</v>
      </c>
      <c r="DA19" s="24">
        <v>2</v>
      </c>
      <c r="DB19" s="24" t="s">
        <v>383</v>
      </c>
      <c r="DC19" s="24">
        <v>1</v>
      </c>
      <c r="DD19" s="24" t="s">
        <v>574</v>
      </c>
      <c r="DE19" s="24" t="s">
        <v>136</v>
      </c>
      <c r="DF19" s="24">
        <v>3</v>
      </c>
      <c r="DG19" s="24">
        <v>3</v>
      </c>
      <c r="DH19" s="24">
        <v>2</v>
      </c>
      <c r="DI19" s="24" t="s">
        <v>575</v>
      </c>
      <c r="DJ19" s="24" t="s">
        <v>210</v>
      </c>
      <c r="DK19" s="24" t="s">
        <v>576</v>
      </c>
    </row>
    <row r="20" spans="1:115" ht="22.5" customHeight="1" x14ac:dyDescent="0.2">
      <c r="A20" s="23">
        <v>46062.619113460649</v>
      </c>
      <c r="B20" s="24" t="s">
        <v>577</v>
      </c>
      <c r="C20" s="24">
        <v>0</v>
      </c>
      <c r="D20" s="24" t="s">
        <v>578</v>
      </c>
      <c r="E20" s="24" t="s">
        <v>579</v>
      </c>
      <c r="F20" s="24" t="s">
        <v>128</v>
      </c>
      <c r="G20" s="24">
        <v>61</v>
      </c>
      <c r="H20" s="25" t="s">
        <v>580</v>
      </c>
      <c r="I20" s="24" t="s">
        <v>194</v>
      </c>
      <c r="J20" s="24" t="s">
        <v>301</v>
      </c>
      <c r="K20" s="24" t="s">
        <v>135</v>
      </c>
      <c r="M20" s="24" t="s">
        <v>136</v>
      </c>
      <c r="N20" s="24" t="s">
        <v>240</v>
      </c>
      <c r="O20" s="24" t="s">
        <v>199</v>
      </c>
      <c r="P20" s="24" t="s">
        <v>156</v>
      </c>
      <c r="Q20" s="24" t="s">
        <v>215</v>
      </c>
      <c r="R20" s="24" t="s">
        <v>217</v>
      </c>
      <c r="S20" s="24" t="s">
        <v>266</v>
      </c>
      <c r="T20" s="24" t="s">
        <v>136</v>
      </c>
      <c r="U20" s="24" t="s">
        <v>202</v>
      </c>
      <c r="V20" s="24" t="s">
        <v>199</v>
      </c>
      <c r="AI20" s="24" t="s">
        <v>304</v>
      </c>
      <c r="AJ20" s="24" t="s">
        <v>136</v>
      </c>
      <c r="AK20" s="24" t="s">
        <v>136</v>
      </c>
      <c r="AL20" s="24" t="s">
        <v>136</v>
      </c>
      <c r="AM20" s="24" t="s">
        <v>156</v>
      </c>
      <c r="AN20" s="24" t="s">
        <v>136</v>
      </c>
      <c r="AO20" s="24" t="s">
        <v>136</v>
      </c>
      <c r="AP20" s="24" t="s">
        <v>136</v>
      </c>
      <c r="AQ20" s="24" t="s">
        <v>136</v>
      </c>
      <c r="BU20" s="24" t="s">
        <v>167</v>
      </c>
      <c r="BV20" s="24" t="s">
        <v>136</v>
      </c>
      <c r="BW20" s="24" t="s">
        <v>581</v>
      </c>
      <c r="BY20" s="24" t="s">
        <v>306</v>
      </c>
      <c r="BZ20" s="24" t="s">
        <v>307</v>
      </c>
      <c r="CA20" s="24" t="s">
        <v>439</v>
      </c>
      <c r="CB20" s="24" t="s">
        <v>149</v>
      </c>
      <c r="CC20" s="24" t="s">
        <v>150</v>
      </c>
      <c r="CD20" s="24" t="s">
        <v>229</v>
      </c>
      <c r="CE20" s="24" t="s">
        <v>152</v>
      </c>
      <c r="CF20" s="24" t="s">
        <v>243</v>
      </c>
      <c r="CG20" s="24">
        <v>4</v>
      </c>
      <c r="CH20" s="24" t="s">
        <v>244</v>
      </c>
      <c r="CI20" s="24" t="s">
        <v>341</v>
      </c>
      <c r="CJ20" s="24" t="s">
        <v>156</v>
      </c>
      <c r="CK20" s="24" t="s">
        <v>438</v>
      </c>
      <c r="CL20" s="24">
        <v>3</v>
      </c>
      <c r="CM20" s="24">
        <v>3</v>
      </c>
      <c r="CN20" s="24">
        <v>3</v>
      </c>
      <c r="CO20" s="24">
        <v>3</v>
      </c>
      <c r="CP20" s="24">
        <v>4</v>
      </c>
      <c r="CQ20" s="24">
        <v>2</v>
      </c>
      <c r="CR20" s="24">
        <v>2</v>
      </c>
      <c r="CS20" s="24">
        <v>3</v>
      </c>
      <c r="CT20" s="24">
        <v>3</v>
      </c>
      <c r="CU20" s="24">
        <v>3</v>
      </c>
      <c r="CV20" s="24">
        <v>4</v>
      </c>
      <c r="CW20" s="24">
        <v>3</v>
      </c>
      <c r="CX20" s="24">
        <v>3</v>
      </c>
      <c r="CY20" s="24">
        <v>4</v>
      </c>
      <c r="CZ20" s="24">
        <v>3</v>
      </c>
      <c r="DA20" s="24">
        <v>3</v>
      </c>
      <c r="DB20" s="24" t="s">
        <v>383</v>
      </c>
      <c r="DC20" s="24">
        <v>3</v>
      </c>
      <c r="DD20" s="24" t="s">
        <v>582</v>
      </c>
      <c r="DE20" s="24" t="s">
        <v>156</v>
      </c>
      <c r="DJ20" s="24" t="s">
        <v>159</v>
      </c>
      <c r="DK20" s="24" t="s">
        <v>583</v>
      </c>
    </row>
    <row r="21" spans="1:115" ht="22.5" customHeight="1" x14ac:dyDescent="0.2">
      <c r="A21" s="23">
        <v>46062.66549694445</v>
      </c>
      <c r="B21" s="24" t="s">
        <v>584</v>
      </c>
      <c r="C21" s="24">
        <v>0</v>
      </c>
      <c r="D21" s="24" t="s">
        <v>585</v>
      </c>
      <c r="E21" s="24" t="s">
        <v>586</v>
      </c>
      <c r="F21" s="24" t="s">
        <v>163</v>
      </c>
      <c r="G21" s="24">
        <v>62</v>
      </c>
      <c r="H21" s="25" t="s">
        <v>587</v>
      </c>
      <c r="I21" s="24" t="s">
        <v>194</v>
      </c>
      <c r="J21" s="24" t="s">
        <v>588</v>
      </c>
      <c r="K21" s="24" t="s">
        <v>345</v>
      </c>
      <c r="M21" s="24" t="s">
        <v>136</v>
      </c>
      <c r="N21" s="24" t="s">
        <v>264</v>
      </c>
      <c r="O21" s="24" t="s">
        <v>216</v>
      </c>
      <c r="P21" s="24" t="s">
        <v>136</v>
      </c>
      <c r="Q21" s="24" t="s">
        <v>254</v>
      </c>
      <c r="R21" s="24" t="s">
        <v>318</v>
      </c>
      <c r="S21" s="24" t="s">
        <v>544</v>
      </c>
      <c r="T21" s="24" t="s">
        <v>136</v>
      </c>
      <c r="U21" s="24" t="s">
        <v>256</v>
      </c>
      <c r="V21" s="24" t="s">
        <v>486</v>
      </c>
      <c r="AI21" s="24" t="s">
        <v>304</v>
      </c>
      <c r="AJ21" s="24" t="s">
        <v>136</v>
      </c>
      <c r="AK21" s="24" t="s">
        <v>136</v>
      </c>
      <c r="AL21" s="24" t="s">
        <v>136</v>
      </c>
      <c r="AM21" s="24" t="s">
        <v>136</v>
      </c>
      <c r="AN21" s="24" t="s">
        <v>136</v>
      </c>
      <c r="AO21" s="24" t="s">
        <v>136</v>
      </c>
      <c r="AP21" s="24" t="s">
        <v>136</v>
      </c>
      <c r="AQ21" s="24" t="s">
        <v>136</v>
      </c>
      <c r="BU21" s="24" t="s">
        <v>167</v>
      </c>
      <c r="BV21" s="24" t="s">
        <v>136</v>
      </c>
      <c r="BW21" s="24" t="s">
        <v>589</v>
      </c>
      <c r="BY21" s="24" t="s">
        <v>376</v>
      </c>
      <c r="BZ21" s="24" t="s">
        <v>337</v>
      </c>
      <c r="CA21" s="24" t="s">
        <v>308</v>
      </c>
      <c r="CB21" s="24" t="s">
        <v>228</v>
      </c>
      <c r="CC21" s="24" t="s">
        <v>242</v>
      </c>
      <c r="CD21" s="24" t="s">
        <v>229</v>
      </c>
      <c r="CE21" s="24" t="s">
        <v>152</v>
      </c>
      <c r="CF21" s="24" t="s">
        <v>153</v>
      </c>
      <c r="CG21" s="24">
        <v>4</v>
      </c>
      <c r="CH21" s="24" t="s">
        <v>481</v>
      </c>
      <c r="CI21" s="24" t="s">
        <v>590</v>
      </c>
      <c r="CJ21" s="24" t="s">
        <v>136</v>
      </c>
      <c r="CK21" s="24" t="s">
        <v>231</v>
      </c>
      <c r="CL21" s="24">
        <v>4</v>
      </c>
      <c r="CM21" s="24">
        <v>4</v>
      </c>
      <c r="CN21" s="24">
        <v>4</v>
      </c>
      <c r="CO21" s="24">
        <v>4</v>
      </c>
      <c r="CP21" s="24">
        <v>5</v>
      </c>
      <c r="CQ21" s="24">
        <v>4</v>
      </c>
      <c r="CR21" s="24">
        <v>4</v>
      </c>
      <c r="CS21" s="24">
        <v>4</v>
      </c>
      <c r="CT21" s="24">
        <v>4</v>
      </c>
      <c r="CU21" s="24">
        <v>4</v>
      </c>
      <c r="CV21" s="24">
        <v>4</v>
      </c>
      <c r="CW21" s="24">
        <v>4</v>
      </c>
      <c r="CX21" s="24">
        <v>4</v>
      </c>
      <c r="CY21" s="24">
        <v>4</v>
      </c>
      <c r="CZ21" s="24">
        <v>4</v>
      </c>
      <c r="DA21" s="24">
        <v>4</v>
      </c>
      <c r="DB21" s="24" t="s">
        <v>247</v>
      </c>
      <c r="DC21" s="24">
        <v>4</v>
      </c>
      <c r="DD21" s="24" t="s">
        <v>591</v>
      </c>
      <c r="DE21" s="24" t="s">
        <v>156</v>
      </c>
      <c r="DJ21" s="24" t="s">
        <v>210</v>
      </c>
      <c r="DK21" s="24" t="s">
        <v>326</v>
      </c>
    </row>
    <row r="22" spans="1:115" ht="22.5" customHeight="1" x14ac:dyDescent="0.2">
      <c r="A22" s="23">
        <v>46062.665576967593</v>
      </c>
      <c r="B22" s="24" t="s">
        <v>592</v>
      </c>
      <c r="C22" s="24">
        <v>0</v>
      </c>
      <c r="D22" s="24" t="s">
        <v>593</v>
      </c>
      <c r="E22" s="24" t="s">
        <v>594</v>
      </c>
      <c r="F22" s="24" t="s">
        <v>128</v>
      </c>
      <c r="G22" s="24">
        <v>62</v>
      </c>
      <c r="H22" s="24" t="s">
        <v>595</v>
      </c>
      <c r="I22" s="24" t="s">
        <v>132</v>
      </c>
      <c r="J22" s="24" t="s">
        <v>301</v>
      </c>
      <c r="K22" s="24" t="s">
        <v>317</v>
      </c>
      <c r="M22" s="24" t="s">
        <v>136</v>
      </c>
      <c r="N22" s="24" t="s">
        <v>240</v>
      </c>
      <c r="O22" s="24" t="s">
        <v>199</v>
      </c>
      <c r="P22" s="24" t="s">
        <v>136</v>
      </c>
      <c r="Q22" s="24" t="s">
        <v>303</v>
      </c>
      <c r="R22" s="24" t="s">
        <v>199</v>
      </c>
      <c r="S22" s="24" t="s">
        <v>266</v>
      </c>
      <c r="T22" s="24" t="s">
        <v>136</v>
      </c>
      <c r="U22" s="24" t="s">
        <v>356</v>
      </c>
      <c r="V22" s="24" t="s">
        <v>199</v>
      </c>
      <c r="AI22" s="24" t="s">
        <v>203</v>
      </c>
      <c r="AJ22" s="24" t="s">
        <v>136</v>
      </c>
      <c r="AK22" s="24" t="s">
        <v>136</v>
      </c>
      <c r="AL22" s="24" t="s">
        <v>136</v>
      </c>
      <c r="AM22" s="24" t="s">
        <v>136</v>
      </c>
      <c r="AN22" s="24" t="s">
        <v>136</v>
      </c>
      <c r="AO22" s="24" t="s">
        <v>136</v>
      </c>
      <c r="AP22" s="24" t="s">
        <v>136</v>
      </c>
      <c r="AQ22" s="24" t="s">
        <v>136</v>
      </c>
      <c r="CB22" s="24" t="s">
        <v>149</v>
      </c>
      <c r="CC22" s="24" t="s">
        <v>150</v>
      </c>
      <c r="CD22" s="24" t="s">
        <v>322</v>
      </c>
      <c r="CE22" s="24" t="s">
        <v>204</v>
      </c>
      <c r="CF22" s="24" t="s">
        <v>153</v>
      </c>
      <c r="CG22" s="24">
        <v>4</v>
      </c>
      <c r="CH22" s="24" t="s">
        <v>244</v>
      </c>
      <c r="CI22" s="24" t="s">
        <v>596</v>
      </c>
      <c r="CJ22" s="24" t="s">
        <v>136</v>
      </c>
      <c r="CK22" s="24" t="s">
        <v>207</v>
      </c>
      <c r="CL22" s="24">
        <v>1</v>
      </c>
      <c r="CM22" s="24">
        <v>1</v>
      </c>
      <c r="CN22" s="24">
        <v>3</v>
      </c>
      <c r="CO22" s="24">
        <v>3</v>
      </c>
      <c r="CP22" s="24">
        <v>3</v>
      </c>
      <c r="CQ22" s="24">
        <v>1</v>
      </c>
      <c r="CR22" s="24">
        <v>3</v>
      </c>
      <c r="CS22" s="24">
        <v>3</v>
      </c>
      <c r="CT22" s="24">
        <v>1</v>
      </c>
      <c r="CU22" s="24">
        <v>3</v>
      </c>
      <c r="CV22" s="24">
        <v>3</v>
      </c>
      <c r="CW22" s="24">
        <v>1</v>
      </c>
      <c r="CX22" s="24">
        <v>3</v>
      </c>
      <c r="CY22" s="24">
        <v>3</v>
      </c>
      <c r="CZ22" s="24">
        <v>1</v>
      </c>
      <c r="DA22" s="24">
        <v>1</v>
      </c>
      <c r="DB22" s="24" t="s">
        <v>247</v>
      </c>
      <c r="DC22" s="24">
        <v>3</v>
      </c>
      <c r="DD22" s="24" t="s">
        <v>402</v>
      </c>
      <c r="DE22" s="24" t="s">
        <v>156</v>
      </c>
      <c r="DJ22" s="24" t="s">
        <v>210</v>
      </c>
      <c r="DK22" s="24" t="s">
        <v>137</v>
      </c>
    </row>
    <row r="23" spans="1:115" ht="22.5" customHeight="1" x14ac:dyDescent="0.2">
      <c r="A23" s="23">
        <v>46062.666615717593</v>
      </c>
      <c r="B23" s="24" t="s">
        <v>597</v>
      </c>
      <c r="C23" s="24">
        <v>0</v>
      </c>
      <c r="D23" s="24" t="s">
        <v>598</v>
      </c>
      <c r="E23" s="24" t="s">
        <v>599</v>
      </c>
      <c r="F23" s="24" t="s">
        <v>128</v>
      </c>
      <c r="G23" s="24">
        <v>61</v>
      </c>
      <c r="H23" s="25" t="s">
        <v>600</v>
      </c>
      <c r="I23" s="24" t="s">
        <v>275</v>
      </c>
      <c r="J23" s="24" t="s">
        <v>301</v>
      </c>
      <c r="K23" s="24" t="s">
        <v>135</v>
      </c>
      <c r="M23" s="24" t="s">
        <v>136</v>
      </c>
      <c r="N23" s="24" t="s">
        <v>276</v>
      </c>
      <c r="O23" s="24" t="s">
        <v>199</v>
      </c>
      <c r="P23" s="24" t="s">
        <v>136</v>
      </c>
      <c r="Q23" s="24" t="s">
        <v>303</v>
      </c>
      <c r="R23" s="24" t="s">
        <v>199</v>
      </c>
      <c r="S23" s="24" t="s">
        <v>544</v>
      </c>
      <c r="T23" s="24" t="s">
        <v>136</v>
      </c>
      <c r="U23" s="24" t="s">
        <v>241</v>
      </c>
      <c r="V23" s="24" t="s">
        <v>199</v>
      </c>
      <c r="AI23" s="24" t="s">
        <v>304</v>
      </c>
      <c r="AJ23" s="24" t="s">
        <v>136</v>
      </c>
      <c r="AK23" s="24" t="s">
        <v>156</v>
      </c>
      <c r="AL23" s="24" t="s">
        <v>136</v>
      </c>
      <c r="AM23" s="24" t="s">
        <v>156</v>
      </c>
      <c r="AN23" s="24" t="s">
        <v>136</v>
      </c>
      <c r="AO23" s="24" t="s">
        <v>136</v>
      </c>
      <c r="AP23" s="24" t="s">
        <v>136</v>
      </c>
      <c r="AQ23" s="24" t="s">
        <v>136</v>
      </c>
      <c r="BU23" s="24" t="s">
        <v>167</v>
      </c>
      <c r="BV23" s="24" t="s">
        <v>136</v>
      </c>
      <c r="BW23" s="24" t="s">
        <v>601</v>
      </c>
      <c r="BX23" s="24" t="s">
        <v>137</v>
      </c>
      <c r="BY23" s="24" t="s">
        <v>306</v>
      </c>
      <c r="BZ23" s="24" t="s">
        <v>307</v>
      </c>
      <c r="CA23" s="24" t="s">
        <v>439</v>
      </c>
      <c r="CB23" s="24" t="s">
        <v>149</v>
      </c>
      <c r="CC23" s="24" t="s">
        <v>242</v>
      </c>
      <c r="CD23" s="24" t="s">
        <v>171</v>
      </c>
      <c r="CE23" s="24" t="s">
        <v>152</v>
      </c>
      <c r="CF23" s="24" t="s">
        <v>153</v>
      </c>
      <c r="CG23" s="24">
        <v>4</v>
      </c>
      <c r="CH23" s="24" t="s">
        <v>244</v>
      </c>
      <c r="CI23" s="24" t="s">
        <v>392</v>
      </c>
      <c r="CJ23" s="24" t="s">
        <v>136</v>
      </c>
      <c r="CK23" s="24" t="s">
        <v>207</v>
      </c>
      <c r="CL23" s="24">
        <v>4</v>
      </c>
      <c r="CM23" s="24">
        <v>4</v>
      </c>
      <c r="CN23" s="24">
        <v>4</v>
      </c>
      <c r="CO23" s="24">
        <v>4</v>
      </c>
      <c r="CP23" s="24">
        <v>5</v>
      </c>
      <c r="CQ23" s="24">
        <v>3</v>
      </c>
      <c r="CR23" s="24">
        <v>4</v>
      </c>
      <c r="CS23" s="24">
        <v>4</v>
      </c>
      <c r="CT23" s="24">
        <v>4</v>
      </c>
      <c r="CU23" s="24">
        <v>4</v>
      </c>
      <c r="CV23" s="24">
        <v>4</v>
      </c>
      <c r="CW23" s="24">
        <v>4</v>
      </c>
      <c r="CX23" s="24">
        <v>4</v>
      </c>
      <c r="CY23" s="24">
        <v>4</v>
      </c>
      <c r="CZ23" s="24">
        <v>4</v>
      </c>
      <c r="DA23" s="24">
        <v>4</v>
      </c>
      <c r="DB23" s="24" t="s">
        <v>295</v>
      </c>
      <c r="DC23" s="24">
        <v>4</v>
      </c>
      <c r="DD23" s="24" t="s">
        <v>602</v>
      </c>
      <c r="DE23" s="24" t="s">
        <v>156</v>
      </c>
      <c r="DJ23" s="24" t="s">
        <v>603</v>
      </c>
      <c r="DK23" s="24" t="s">
        <v>137</v>
      </c>
    </row>
    <row r="24" spans="1:115" ht="22.5" customHeight="1" x14ac:dyDescent="0.2">
      <c r="A24" s="23">
        <v>46062.667897766209</v>
      </c>
      <c r="B24" s="24" t="s">
        <v>604</v>
      </c>
      <c r="C24" s="24">
        <v>0</v>
      </c>
      <c r="D24" s="24" t="s">
        <v>605</v>
      </c>
      <c r="E24" s="24" t="s">
        <v>606</v>
      </c>
      <c r="F24" s="24" t="s">
        <v>163</v>
      </c>
      <c r="G24" s="24">
        <v>62</v>
      </c>
      <c r="H24" s="25" t="s">
        <v>607</v>
      </c>
      <c r="I24" s="24" t="s">
        <v>132</v>
      </c>
      <c r="J24" s="24" t="s">
        <v>301</v>
      </c>
      <c r="K24" s="24" t="s">
        <v>135</v>
      </c>
      <c r="M24" s="24" t="s">
        <v>156</v>
      </c>
      <c r="N24" s="24" t="s">
        <v>215</v>
      </c>
      <c r="O24" s="24" t="s">
        <v>355</v>
      </c>
      <c r="P24" s="24" t="s">
        <v>156</v>
      </c>
      <c r="Q24" s="24" t="s">
        <v>215</v>
      </c>
      <c r="R24" s="24" t="s">
        <v>270</v>
      </c>
      <c r="S24" s="24" t="s">
        <v>266</v>
      </c>
      <c r="T24" s="24" t="s">
        <v>136</v>
      </c>
      <c r="U24" s="24" t="s">
        <v>256</v>
      </c>
      <c r="V24" s="24" t="s">
        <v>199</v>
      </c>
      <c r="AI24" s="24" t="s">
        <v>219</v>
      </c>
      <c r="AJ24" s="24" t="s">
        <v>136</v>
      </c>
      <c r="AK24" s="24" t="s">
        <v>136</v>
      </c>
      <c r="AL24" s="24" t="s">
        <v>156</v>
      </c>
      <c r="AM24" s="24" t="s">
        <v>156</v>
      </c>
      <c r="AN24" s="24" t="s">
        <v>156</v>
      </c>
      <c r="AO24" s="24" t="s">
        <v>156</v>
      </c>
      <c r="AP24" s="24" t="s">
        <v>136</v>
      </c>
      <c r="AQ24" s="24" t="s">
        <v>136</v>
      </c>
      <c r="BF24" s="24" t="s">
        <v>167</v>
      </c>
      <c r="BG24" s="24" t="s">
        <v>156</v>
      </c>
      <c r="BI24" s="24" t="s">
        <v>608</v>
      </c>
      <c r="BJ24" s="24" t="s">
        <v>156</v>
      </c>
      <c r="BK24" s="24" t="s">
        <v>221</v>
      </c>
      <c r="BL24" s="24" t="s">
        <v>222</v>
      </c>
      <c r="BM24" s="24" t="s">
        <v>223</v>
      </c>
      <c r="BN24" s="24" t="s">
        <v>305</v>
      </c>
      <c r="BO24" s="24" t="s">
        <v>156</v>
      </c>
      <c r="BR24" s="24" t="s">
        <v>146</v>
      </c>
      <c r="BS24" s="24" t="s">
        <v>272</v>
      </c>
      <c r="BT24" s="24" t="s">
        <v>227</v>
      </c>
      <c r="CB24" s="24" t="s">
        <v>149</v>
      </c>
      <c r="CC24" s="24" t="s">
        <v>150</v>
      </c>
      <c r="CD24" s="24" t="s">
        <v>171</v>
      </c>
      <c r="CE24" s="24" t="s">
        <v>204</v>
      </c>
      <c r="CF24" s="24" t="s">
        <v>273</v>
      </c>
      <c r="CG24" s="24">
        <v>1</v>
      </c>
      <c r="CH24" s="24" t="s">
        <v>286</v>
      </c>
      <c r="CI24" s="24" t="s">
        <v>392</v>
      </c>
      <c r="CJ24" s="24" t="s">
        <v>156</v>
      </c>
      <c r="CK24" s="24" t="s">
        <v>362</v>
      </c>
      <c r="CL24" s="24">
        <v>1</v>
      </c>
      <c r="CM24" s="24">
        <v>1</v>
      </c>
      <c r="CN24" s="24">
        <v>3</v>
      </c>
      <c r="CO24" s="24">
        <v>1</v>
      </c>
      <c r="CP24" s="24">
        <v>1</v>
      </c>
      <c r="CQ24" s="24">
        <v>1</v>
      </c>
      <c r="CR24" s="24">
        <v>3</v>
      </c>
      <c r="CS24" s="24">
        <v>1</v>
      </c>
      <c r="CT24" s="24">
        <v>1</v>
      </c>
      <c r="CU24" s="24">
        <v>3</v>
      </c>
      <c r="CV24" s="24">
        <v>1</v>
      </c>
      <c r="CW24" s="24">
        <v>1</v>
      </c>
      <c r="CX24" s="24">
        <v>3</v>
      </c>
      <c r="CY24" s="24">
        <v>1</v>
      </c>
      <c r="CZ24" s="24">
        <v>1</v>
      </c>
      <c r="DB24" s="24" t="s">
        <v>295</v>
      </c>
      <c r="DC24" s="24">
        <v>2</v>
      </c>
      <c r="DD24" s="24" t="s">
        <v>609</v>
      </c>
      <c r="DE24" s="24" t="s">
        <v>156</v>
      </c>
      <c r="DJ24" s="24" t="s">
        <v>210</v>
      </c>
      <c r="DK24" s="24" t="s">
        <v>137</v>
      </c>
    </row>
    <row r="25" spans="1:115" ht="22.5" customHeight="1" x14ac:dyDescent="0.2">
      <c r="A25" s="23">
        <v>46062.668535833334</v>
      </c>
      <c r="B25" s="24" t="s">
        <v>610</v>
      </c>
      <c r="C25" s="24">
        <v>0</v>
      </c>
      <c r="D25" s="24" t="s">
        <v>611</v>
      </c>
      <c r="E25" s="24" t="s">
        <v>612</v>
      </c>
      <c r="F25" s="24" t="s">
        <v>163</v>
      </c>
      <c r="G25" s="24">
        <v>62</v>
      </c>
      <c r="H25" s="25" t="s">
        <v>613</v>
      </c>
      <c r="I25" s="24" t="s">
        <v>275</v>
      </c>
      <c r="J25" s="24" t="s">
        <v>195</v>
      </c>
      <c r="K25" s="24" t="s">
        <v>135</v>
      </c>
      <c r="L25" s="24" t="s">
        <v>614</v>
      </c>
      <c r="M25" s="24" t="s">
        <v>156</v>
      </c>
      <c r="N25" s="24" t="s">
        <v>215</v>
      </c>
      <c r="O25" s="24" t="s">
        <v>216</v>
      </c>
      <c r="P25" s="24" t="s">
        <v>136</v>
      </c>
      <c r="Q25" s="24" t="s">
        <v>200</v>
      </c>
      <c r="R25" s="24" t="s">
        <v>199</v>
      </c>
      <c r="S25" s="24" t="s">
        <v>218</v>
      </c>
      <c r="T25" s="24" t="s">
        <v>136</v>
      </c>
      <c r="U25" s="24" t="s">
        <v>202</v>
      </c>
      <c r="V25" s="24" t="s">
        <v>199</v>
      </c>
      <c r="AI25" s="24" t="s">
        <v>304</v>
      </c>
      <c r="AJ25" s="24" t="s">
        <v>156</v>
      </c>
      <c r="AK25" s="24" t="s">
        <v>156</v>
      </c>
      <c r="AL25" s="24" t="s">
        <v>136</v>
      </c>
      <c r="AM25" s="24" t="s">
        <v>136</v>
      </c>
      <c r="AN25" s="24" t="s">
        <v>136</v>
      </c>
      <c r="AO25" s="24" t="s">
        <v>136</v>
      </c>
      <c r="AP25" s="24" t="s">
        <v>156</v>
      </c>
      <c r="AQ25" s="24" t="s">
        <v>136</v>
      </c>
      <c r="BU25" s="24" t="s">
        <v>167</v>
      </c>
      <c r="BV25" s="24" t="s">
        <v>156</v>
      </c>
      <c r="BX25" s="24" t="s">
        <v>615</v>
      </c>
      <c r="BY25" s="24" t="s">
        <v>376</v>
      </c>
      <c r="BZ25" s="24" t="s">
        <v>337</v>
      </c>
      <c r="CA25" s="24" t="s">
        <v>377</v>
      </c>
      <c r="CB25" s="24" t="s">
        <v>149</v>
      </c>
      <c r="CC25" s="24" t="s">
        <v>150</v>
      </c>
      <c r="CD25" s="24" t="s">
        <v>322</v>
      </c>
      <c r="CE25" s="24" t="s">
        <v>152</v>
      </c>
      <c r="CF25" s="24" t="s">
        <v>153</v>
      </c>
      <c r="CG25" s="24">
        <v>3</v>
      </c>
      <c r="CH25" s="24" t="s">
        <v>172</v>
      </c>
      <c r="CI25" s="24" t="s">
        <v>365</v>
      </c>
      <c r="CJ25" s="24" t="s">
        <v>136</v>
      </c>
      <c r="CK25" s="24" t="s">
        <v>231</v>
      </c>
      <c r="CL25" s="24">
        <v>3</v>
      </c>
      <c r="CM25" s="24">
        <v>3</v>
      </c>
      <c r="CN25" s="24">
        <v>3</v>
      </c>
      <c r="CO25" s="24">
        <v>3</v>
      </c>
      <c r="CP25" s="24">
        <v>3</v>
      </c>
      <c r="CQ25" s="24">
        <v>3</v>
      </c>
      <c r="CR25" s="24">
        <v>3</v>
      </c>
      <c r="CS25" s="24">
        <v>3</v>
      </c>
      <c r="CT25" s="24">
        <v>3</v>
      </c>
      <c r="CU25" s="24">
        <v>3</v>
      </c>
      <c r="CV25" s="24">
        <v>3</v>
      </c>
      <c r="CW25" s="24">
        <v>3</v>
      </c>
      <c r="CX25" s="24">
        <v>3</v>
      </c>
      <c r="CY25" s="24">
        <v>3</v>
      </c>
      <c r="CZ25" s="24">
        <v>3</v>
      </c>
      <c r="DA25" s="24">
        <v>3</v>
      </c>
      <c r="DB25" s="24" t="s">
        <v>413</v>
      </c>
      <c r="DC25" s="24">
        <v>4</v>
      </c>
      <c r="DD25" s="24" t="s">
        <v>296</v>
      </c>
      <c r="DE25" s="24" t="s">
        <v>136</v>
      </c>
      <c r="DF25" s="24">
        <v>3</v>
      </c>
      <c r="DG25" s="24">
        <v>3</v>
      </c>
      <c r="DH25" s="24">
        <v>3</v>
      </c>
      <c r="DI25" s="24" t="s">
        <v>616</v>
      </c>
      <c r="DJ25" s="24" t="s">
        <v>210</v>
      </c>
      <c r="DK25" s="24" t="s">
        <v>617</v>
      </c>
    </row>
    <row r="26" spans="1:115" ht="22.5" customHeight="1" x14ac:dyDescent="0.2">
      <c r="A26" s="23">
        <v>46062.682933993055</v>
      </c>
      <c r="B26" s="24" t="s">
        <v>618</v>
      </c>
      <c r="C26" s="24">
        <v>0</v>
      </c>
      <c r="D26" s="24" t="s">
        <v>619</v>
      </c>
      <c r="E26" s="24" t="s">
        <v>620</v>
      </c>
      <c r="F26" s="24" t="s">
        <v>128</v>
      </c>
      <c r="G26" s="24">
        <v>60</v>
      </c>
      <c r="H26" s="25" t="s">
        <v>621</v>
      </c>
      <c r="I26" s="24" t="s">
        <v>194</v>
      </c>
      <c r="J26" s="24" t="s">
        <v>301</v>
      </c>
      <c r="K26" s="24" t="s">
        <v>135</v>
      </c>
      <c r="M26" s="24" t="s">
        <v>136</v>
      </c>
      <c r="N26" s="24" t="s">
        <v>425</v>
      </c>
      <c r="O26" s="24" t="s">
        <v>199</v>
      </c>
      <c r="P26" s="24" t="s">
        <v>156</v>
      </c>
      <c r="Q26" s="24" t="s">
        <v>215</v>
      </c>
      <c r="R26" s="24" t="s">
        <v>217</v>
      </c>
      <c r="S26" s="24" t="s">
        <v>255</v>
      </c>
      <c r="T26" s="24" t="s">
        <v>136</v>
      </c>
      <c r="U26" s="24" t="s">
        <v>241</v>
      </c>
      <c r="V26" s="24" t="s">
        <v>199</v>
      </c>
      <c r="AI26" s="24" t="s">
        <v>144</v>
      </c>
      <c r="AJ26" s="24" t="s">
        <v>136</v>
      </c>
      <c r="AK26" s="24" t="s">
        <v>136</v>
      </c>
      <c r="AL26" s="24" t="s">
        <v>136</v>
      </c>
      <c r="AM26" s="24" t="s">
        <v>156</v>
      </c>
      <c r="AN26" s="24" t="s">
        <v>136</v>
      </c>
      <c r="AO26" s="24" t="s">
        <v>136</v>
      </c>
      <c r="AP26" s="24" t="s">
        <v>136</v>
      </c>
      <c r="AQ26" s="24" t="s">
        <v>156</v>
      </c>
      <c r="BN26" s="24" t="s">
        <v>167</v>
      </c>
      <c r="BO26" s="24" t="s">
        <v>136</v>
      </c>
      <c r="BP26" s="24" t="s">
        <v>622</v>
      </c>
      <c r="BR26" s="24" t="s">
        <v>436</v>
      </c>
      <c r="BS26" s="24" t="s">
        <v>169</v>
      </c>
      <c r="BT26" s="24" t="s">
        <v>148</v>
      </c>
      <c r="CB26" s="24" t="s">
        <v>149</v>
      </c>
      <c r="CC26" s="24" t="s">
        <v>150</v>
      </c>
      <c r="CD26" s="24" t="s">
        <v>229</v>
      </c>
      <c r="CE26" s="24" t="s">
        <v>152</v>
      </c>
      <c r="CF26" s="24" t="s">
        <v>243</v>
      </c>
      <c r="CG26" s="24">
        <v>4</v>
      </c>
      <c r="CH26" s="24" t="s">
        <v>154</v>
      </c>
      <c r="CI26" s="24" t="s">
        <v>623</v>
      </c>
      <c r="CJ26" s="24" t="s">
        <v>136</v>
      </c>
      <c r="CK26" s="24" t="s">
        <v>279</v>
      </c>
      <c r="CL26" s="24">
        <v>4</v>
      </c>
      <c r="CM26" s="24">
        <v>4</v>
      </c>
      <c r="CN26" s="24">
        <v>4</v>
      </c>
      <c r="CO26" s="24">
        <v>4</v>
      </c>
      <c r="CP26" s="24">
        <v>5</v>
      </c>
      <c r="CQ26" s="24">
        <v>3</v>
      </c>
      <c r="CR26" s="24">
        <v>3</v>
      </c>
      <c r="CS26" s="24">
        <v>4</v>
      </c>
      <c r="CT26" s="24">
        <v>4</v>
      </c>
      <c r="CU26" s="24">
        <v>3</v>
      </c>
      <c r="CV26" s="24">
        <v>3</v>
      </c>
      <c r="CW26" s="24">
        <v>3</v>
      </c>
      <c r="CX26" s="24">
        <v>4</v>
      </c>
      <c r="CY26" s="24">
        <v>4</v>
      </c>
      <c r="CZ26" s="24">
        <v>4</v>
      </c>
      <c r="DA26" s="24">
        <v>2</v>
      </c>
      <c r="DB26" s="24" t="s">
        <v>295</v>
      </c>
      <c r="DC26" s="24">
        <v>3</v>
      </c>
      <c r="DD26" s="24" t="s">
        <v>624</v>
      </c>
      <c r="DE26" s="24" t="s">
        <v>136</v>
      </c>
      <c r="DF26" s="24">
        <v>3</v>
      </c>
      <c r="DG26" s="24">
        <v>3</v>
      </c>
      <c r="DH26" s="24">
        <v>1</v>
      </c>
      <c r="DI26" s="24" t="s">
        <v>158</v>
      </c>
      <c r="DJ26" s="24" t="s">
        <v>159</v>
      </c>
      <c r="DK26" s="24" t="s">
        <v>625</v>
      </c>
    </row>
    <row r="27" spans="1:115" ht="22.5" customHeight="1" x14ac:dyDescent="0.2">
      <c r="A27" s="23">
        <v>46062.683624606478</v>
      </c>
      <c r="B27" s="24" t="s">
        <v>626</v>
      </c>
      <c r="C27" s="24">
        <v>0</v>
      </c>
      <c r="D27" s="24" t="s">
        <v>627</v>
      </c>
      <c r="E27" s="24" t="s">
        <v>628</v>
      </c>
      <c r="F27" s="24" t="s">
        <v>128</v>
      </c>
      <c r="G27" s="24">
        <v>61</v>
      </c>
      <c r="H27" s="25" t="s">
        <v>629</v>
      </c>
      <c r="I27" s="24" t="s">
        <v>194</v>
      </c>
      <c r="J27" s="24" t="s">
        <v>133</v>
      </c>
      <c r="K27" s="24" t="s">
        <v>135</v>
      </c>
      <c r="M27" s="24" t="s">
        <v>136</v>
      </c>
      <c r="N27" s="24" t="s">
        <v>276</v>
      </c>
      <c r="O27" s="24" t="s">
        <v>199</v>
      </c>
      <c r="P27" s="24" t="s">
        <v>136</v>
      </c>
      <c r="Q27" s="24" t="s">
        <v>303</v>
      </c>
      <c r="R27" s="24" t="s">
        <v>199</v>
      </c>
      <c r="S27" s="24" t="s">
        <v>218</v>
      </c>
      <c r="T27" s="24" t="s">
        <v>136</v>
      </c>
      <c r="U27" s="24" t="s">
        <v>256</v>
      </c>
      <c r="V27" s="24" t="s">
        <v>199</v>
      </c>
      <c r="AI27" s="24" t="s">
        <v>203</v>
      </c>
      <c r="AJ27" s="24" t="s">
        <v>156</v>
      </c>
      <c r="AK27" s="24" t="s">
        <v>136</v>
      </c>
      <c r="AL27" s="24" t="s">
        <v>136</v>
      </c>
      <c r="AM27" s="24" t="s">
        <v>156</v>
      </c>
      <c r="AN27" s="24" t="s">
        <v>156</v>
      </c>
      <c r="AO27" s="24" t="s">
        <v>156</v>
      </c>
      <c r="AP27" s="24" t="s">
        <v>136</v>
      </c>
      <c r="AQ27" s="24" t="s">
        <v>136</v>
      </c>
      <c r="CB27" s="24" t="s">
        <v>149</v>
      </c>
      <c r="CC27" s="24" t="s">
        <v>150</v>
      </c>
      <c r="CD27" s="24" t="s">
        <v>151</v>
      </c>
      <c r="CE27" s="24" t="s">
        <v>152</v>
      </c>
      <c r="CF27" s="24" t="s">
        <v>153</v>
      </c>
      <c r="CG27" s="24">
        <v>4</v>
      </c>
      <c r="CH27" s="24" t="s">
        <v>172</v>
      </c>
      <c r="CI27" s="24" t="s">
        <v>365</v>
      </c>
      <c r="CJ27" s="24" t="s">
        <v>156</v>
      </c>
      <c r="CK27" s="24" t="s">
        <v>207</v>
      </c>
      <c r="CL27" s="24">
        <v>1</v>
      </c>
      <c r="CM27" s="24">
        <v>1</v>
      </c>
      <c r="CN27" s="24">
        <v>1</v>
      </c>
      <c r="CO27" s="24">
        <v>1</v>
      </c>
      <c r="CP27" s="24">
        <v>1</v>
      </c>
      <c r="CQ27" s="24">
        <v>1</v>
      </c>
      <c r="CR27" s="24">
        <v>1</v>
      </c>
      <c r="CS27" s="24">
        <v>4</v>
      </c>
      <c r="CT27" s="24">
        <v>1</v>
      </c>
      <c r="CU27" s="24">
        <v>1</v>
      </c>
      <c r="CV27" s="24">
        <v>4</v>
      </c>
      <c r="CW27" s="24">
        <v>1</v>
      </c>
      <c r="CX27" s="24">
        <v>1</v>
      </c>
      <c r="CY27" s="24">
        <v>4</v>
      </c>
      <c r="CZ27" s="24">
        <v>1</v>
      </c>
      <c r="DA27" s="24">
        <v>1</v>
      </c>
      <c r="DB27" s="24" t="s">
        <v>630</v>
      </c>
      <c r="DC27" s="24">
        <v>4</v>
      </c>
      <c r="DD27" s="24" t="s">
        <v>363</v>
      </c>
      <c r="DE27" s="24" t="s">
        <v>156</v>
      </c>
      <c r="DJ27" s="24" t="s">
        <v>631</v>
      </c>
      <c r="DK27" s="24" t="s">
        <v>381</v>
      </c>
    </row>
    <row r="28" spans="1:115" ht="22.5" customHeight="1" x14ac:dyDescent="0.2">
      <c r="A28" s="23">
        <v>46062.684553564817</v>
      </c>
      <c r="B28" s="24" t="s">
        <v>632</v>
      </c>
      <c r="C28" s="24">
        <v>0</v>
      </c>
      <c r="D28" s="24" t="s">
        <v>633</v>
      </c>
      <c r="E28" s="24" t="s">
        <v>634</v>
      </c>
      <c r="F28" s="24" t="s">
        <v>163</v>
      </c>
      <c r="G28" s="24">
        <v>62</v>
      </c>
      <c r="H28" s="25" t="s">
        <v>635</v>
      </c>
      <c r="I28" s="24" t="s">
        <v>194</v>
      </c>
      <c r="J28" s="24" t="s">
        <v>301</v>
      </c>
      <c r="K28" s="24" t="s">
        <v>135</v>
      </c>
      <c r="M28" s="24" t="s">
        <v>136</v>
      </c>
      <c r="N28" s="24" t="s">
        <v>240</v>
      </c>
      <c r="O28" s="24" t="s">
        <v>199</v>
      </c>
      <c r="P28" s="24" t="s">
        <v>156</v>
      </c>
      <c r="Q28" s="24" t="s">
        <v>215</v>
      </c>
      <c r="R28" s="24" t="s">
        <v>270</v>
      </c>
      <c r="S28" s="24" t="s">
        <v>313</v>
      </c>
      <c r="T28" s="24" t="s">
        <v>136</v>
      </c>
      <c r="U28" s="24" t="s">
        <v>202</v>
      </c>
      <c r="V28" s="24" t="s">
        <v>199</v>
      </c>
      <c r="AI28" s="24" t="s">
        <v>144</v>
      </c>
      <c r="AJ28" s="24" t="s">
        <v>136</v>
      </c>
      <c r="AK28" s="24" t="s">
        <v>136</v>
      </c>
      <c r="AL28" s="24" t="s">
        <v>136</v>
      </c>
      <c r="AM28" s="24" t="s">
        <v>136</v>
      </c>
      <c r="AN28" s="24" t="s">
        <v>136</v>
      </c>
      <c r="AO28" s="24" t="s">
        <v>136</v>
      </c>
      <c r="AP28" s="24" t="s">
        <v>136</v>
      </c>
      <c r="AQ28" s="24" t="s">
        <v>136</v>
      </c>
      <c r="BN28" s="24" t="s">
        <v>167</v>
      </c>
      <c r="BO28" s="24" t="s">
        <v>136</v>
      </c>
      <c r="BP28" s="24" t="s">
        <v>636</v>
      </c>
      <c r="BR28" s="24" t="s">
        <v>271</v>
      </c>
      <c r="BS28" s="24" t="s">
        <v>169</v>
      </c>
      <c r="BT28" s="24" t="s">
        <v>170</v>
      </c>
      <c r="CB28" s="24" t="s">
        <v>267</v>
      </c>
      <c r="CC28" s="24" t="s">
        <v>150</v>
      </c>
      <c r="CD28" s="24" t="s">
        <v>229</v>
      </c>
      <c r="CE28" s="24" t="s">
        <v>152</v>
      </c>
      <c r="CF28" s="24" t="s">
        <v>243</v>
      </c>
      <c r="CG28" s="24">
        <v>4</v>
      </c>
      <c r="CH28" s="24" t="s">
        <v>172</v>
      </c>
      <c r="CI28" s="24" t="s">
        <v>278</v>
      </c>
      <c r="CJ28" s="24" t="s">
        <v>136</v>
      </c>
      <c r="CK28" s="24" t="s">
        <v>279</v>
      </c>
      <c r="CL28" s="24">
        <v>4</v>
      </c>
      <c r="CM28" s="24">
        <v>2</v>
      </c>
      <c r="CN28" s="24">
        <v>4</v>
      </c>
      <c r="CO28" s="24">
        <v>4</v>
      </c>
      <c r="CP28" s="24">
        <v>4</v>
      </c>
      <c r="CQ28" s="24">
        <v>2</v>
      </c>
      <c r="CR28" s="24">
        <v>3</v>
      </c>
      <c r="CS28" s="24">
        <v>4</v>
      </c>
      <c r="CT28" s="24">
        <v>3</v>
      </c>
      <c r="CU28" s="24">
        <v>3</v>
      </c>
      <c r="CV28" s="24">
        <v>3</v>
      </c>
      <c r="CW28" s="24">
        <v>4</v>
      </c>
      <c r="CX28" s="24">
        <v>4</v>
      </c>
      <c r="CY28" s="24">
        <v>4</v>
      </c>
      <c r="CZ28" s="24">
        <v>4</v>
      </c>
      <c r="DA28" s="24">
        <v>3</v>
      </c>
      <c r="DB28" s="24" t="s">
        <v>295</v>
      </c>
      <c r="DC28" s="24">
        <v>2</v>
      </c>
      <c r="DD28" s="24" t="s">
        <v>637</v>
      </c>
      <c r="DE28" s="24" t="s">
        <v>136</v>
      </c>
      <c r="DF28" s="24">
        <v>3</v>
      </c>
      <c r="DG28" s="24">
        <v>3</v>
      </c>
      <c r="DH28" s="24">
        <v>3</v>
      </c>
      <c r="DI28" s="24" t="s">
        <v>638</v>
      </c>
      <c r="DJ28" s="24" t="s">
        <v>316</v>
      </c>
      <c r="DK28" s="24" t="s">
        <v>137</v>
      </c>
    </row>
    <row r="29" spans="1:115" ht="22.5" customHeight="1" x14ac:dyDescent="0.2">
      <c r="A29" s="23">
        <v>46062.694553414352</v>
      </c>
      <c r="B29" s="24" t="s">
        <v>639</v>
      </c>
      <c r="C29" s="24">
        <v>0</v>
      </c>
      <c r="D29" s="24" t="s">
        <v>640</v>
      </c>
      <c r="E29" s="24" t="s">
        <v>641</v>
      </c>
      <c r="F29" s="24" t="s">
        <v>128</v>
      </c>
      <c r="G29" s="24">
        <v>62</v>
      </c>
      <c r="H29" s="25" t="s">
        <v>642</v>
      </c>
      <c r="I29" s="24" t="s">
        <v>194</v>
      </c>
      <c r="J29" s="24" t="s">
        <v>133</v>
      </c>
      <c r="K29" s="24" t="s">
        <v>135</v>
      </c>
      <c r="M29" s="24" t="s">
        <v>156</v>
      </c>
      <c r="N29" s="24" t="s">
        <v>215</v>
      </c>
      <c r="O29" s="24" t="s">
        <v>216</v>
      </c>
      <c r="P29" s="24" t="s">
        <v>136</v>
      </c>
      <c r="Q29" s="24" t="s">
        <v>303</v>
      </c>
      <c r="R29" s="24" t="s">
        <v>199</v>
      </c>
      <c r="S29" s="24" t="s">
        <v>277</v>
      </c>
      <c r="T29" s="24" t="s">
        <v>136</v>
      </c>
      <c r="U29" s="24" t="s">
        <v>202</v>
      </c>
      <c r="V29" s="24" t="s">
        <v>199</v>
      </c>
      <c r="AI29" s="24" t="s">
        <v>203</v>
      </c>
      <c r="AJ29" s="24" t="s">
        <v>136</v>
      </c>
      <c r="AK29" s="24" t="s">
        <v>136</v>
      </c>
      <c r="AL29" s="24" t="s">
        <v>136</v>
      </c>
      <c r="AM29" s="24" t="s">
        <v>136</v>
      </c>
      <c r="AN29" s="24" t="s">
        <v>136</v>
      </c>
      <c r="AO29" s="24" t="s">
        <v>136</v>
      </c>
      <c r="AP29" s="24" t="s">
        <v>156</v>
      </c>
      <c r="AQ29" s="24" t="s">
        <v>156</v>
      </c>
      <c r="CB29" s="24" t="s">
        <v>267</v>
      </c>
      <c r="CC29" s="24" t="s">
        <v>150</v>
      </c>
      <c r="CD29" s="24" t="s">
        <v>229</v>
      </c>
      <c r="CE29" s="24" t="s">
        <v>152</v>
      </c>
      <c r="CF29" s="24" t="s">
        <v>243</v>
      </c>
      <c r="CG29" s="24">
        <v>4</v>
      </c>
      <c r="CH29" s="24" t="s">
        <v>154</v>
      </c>
      <c r="CI29" s="24" t="s">
        <v>278</v>
      </c>
      <c r="CJ29" s="24" t="s">
        <v>136</v>
      </c>
      <c r="CK29" s="24" t="s">
        <v>328</v>
      </c>
      <c r="CL29" s="24">
        <v>3</v>
      </c>
      <c r="CM29" s="24">
        <v>3</v>
      </c>
      <c r="CN29" s="24">
        <v>3</v>
      </c>
      <c r="CO29" s="24">
        <v>3</v>
      </c>
      <c r="CP29" s="24">
        <v>4</v>
      </c>
      <c r="CQ29" s="24">
        <v>3</v>
      </c>
      <c r="CR29" s="24">
        <v>3</v>
      </c>
      <c r="CS29" s="24">
        <v>3</v>
      </c>
      <c r="CT29" s="24">
        <v>3</v>
      </c>
      <c r="CU29" s="24">
        <v>3</v>
      </c>
      <c r="CV29" s="24">
        <v>3</v>
      </c>
      <c r="CW29" s="24">
        <v>3</v>
      </c>
      <c r="CX29" s="24">
        <v>3</v>
      </c>
      <c r="CY29" s="24">
        <v>3</v>
      </c>
      <c r="CZ29" s="24">
        <v>3</v>
      </c>
      <c r="DA29" s="24">
        <v>3</v>
      </c>
      <c r="DB29" s="24" t="s">
        <v>295</v>
      </c>
      <c r="DC29" s="24">
        <v>2</v>
      </c>
      <c r="DD29" s="24" t="s">
        <v>643</v>
      </c>
      <c r="DE29" s="24" t="s">
        <v>156</v>
      </c>
      <c r="DJ29" s="24" t="s">
        <v>210</v>
      </c>
      <c r="DK29" s="24" t="s">
        <v>137</v>
      </c>
    </row>
    <row r="30" spans="1:115" ht="22.5" customHeight="1" x14ac:dyDescent="0.2">
      <c r="A30" s="23">
        <v>46062.702724340277</v>
      </c>
      <c r="B30" s="24" t="s">
        <v>644</v>
      </c>
      <c r="C30" s="24">
        <v>0</v>
      </c>
      <c r="D30" s="24" t="s">
        <v>645</v>
      </c>
      <c r="E30" s="24" t="s">
        <v>646</v>
      </c>
      <c r="F30" s="24" t="s">
        <v>128</v>
      </c>
      <c r="G30" s="24">
        <v>59</v>
      </c>
      <c r="H30" s="25" t="s">
        <v>647</v>
      </c>
      <c r="I30" s="24" t="s">
        <v>194</v>
      </c>
      <c r="J30" s="24" t="s">
        <v>344</v>
      </c>
      <c r="K30" s="24" t="s">
        <v>135</v>
      </c>
      <c r="M30" s="24" t="s">
        <v>136</v>
      </c>
      <c r="N30" s="24" t="s">
        <v>240</v>
      </c>
      <c r="O30" s="24" t="s">
        <v>199</v>
      </c>
      <c r="P30" s="24" t="s">
        <v>136</v>
      </c>
      <c r="Q30" s="24" t="s">
        <v>200</v>
      </c>
      <c r="R30" s="24" t="s">
        <v>199</v>
      </c>
      <c r="S30" s="24" t="s">
        <v>218</v>
      </c>
      <c r="T30" s="24" t="s">
        <v>136</v>
      </c>
      <c r="U30" s="24" t="s">
        <v>241</v>
      </c>
      <c r="V30" s="24" t="s">
        <v>199</v>
      </c>
      <c r="AI30" s="24" t="s">
        <v>219</v>
      </c>
      <c r="AJ30" s="24" t="s">
        <v>136</v>
      </c>
      <c r="AK30" s="24" t="s">
        <v>136</v>
      </c>
      <c r="AL30" s="24" t="s">
        <v>156</v>
      </c>
      <c r="AM30" s="24" t="s">
        <v>156</v>
      </c>
      <c r="AN30" s="24" t="s">
        <v>156</v>
      </c>
      <c r="AO30" s="24" t="s">
        <v>136</v>
      </c>
      <c r="AP30" s="24" t="s">
        <v>136</v>
      </c>
      <c r="AQ30" s="24" t="s">
        <v>156</v>
      </c>
      <c r="BF30" s="24" t="s">
        <v>305</v>
      </c>
      <c r="BG30" s="24" t="s">
        <v>156</v>
      </c>
      <c r="BI30" s="24" t="s">
        <v>648</v>
      </c>
      <c r="BJ30" s="24" t="s">
        <v>156</v>
      </c>
      <c r="BK30" s="24" t="s">
        <v>221</v>
      </c>
      <c r="BL30" s="24" t="s">
        <v>509</v>
      </c>
      <c r="BM30" s="24" t="s">
        <v>223</v>
      </c>
      <c r="BN30" s="24" t="s">
        <v>649</v>
      </c>
      <c r="BO30" s="24" t="s">
        <v>156</v>
      </c>
      <c r="BR30" s="24" t="s">
        <v>146</v>
      </c>
      <c r="BS30" s="24" t="s">
        <v>388</v>
      </c>
      <c r="BT30" s="24" t="s">
        <v>227</v>
      </c>
      <c r="CB30" s="24" t="s">
        <v>149</v>
      </c>
      <c r="CC30" s="24" t="s">
        <v>242</v>
      </c>
      <c r="CD30" s="24" t="s">
        <v>151</v>
      </c>
      <c r="CE30" s="24" t="s">
        <v>204</v>
      </c>
      <c r="CF30" s="24" t="s">
        <v>243</v>
      </c>
      <c r="CG30" s="24">
        <v>4</v>
      </c>
      <c r="CH30" s="24" t="s">
        <v>481</v>
      </c>
      <c r="CI30" s="24" t="s">
        <v>206</v>
      </c>
      <c r="CJ30" s="24" t="s">
        <v>156</v>
      </c>
      <c r="CK30" s="24" t="s">
        <v>512</v>
      </c>
      <c r="CL30" s="24">
        <v>1</v>
      </c>
      <c r="CM30" s="24">
        <v>1</v>
      </c>
      <c r="CN30" s="24">
        <v>2</v>
      </c>
      <c r="CO30" s="24">
        <v>4</v>
      </c>
      <c r="CP30" s="24">
        <v>1</v>
      </c>
      <c r="CQ30" s="24">
        <v>1</v>
      </c>
      <c r="CR30" s="24">
        <v>2</v>
      </c>
      <c r="CS30" s="24">
        <v>4</v>
      </c>
      <c r="CT30" s="24">
        <v>1</v>
      </c>
      <c r="CU30" s="24">
        <v>2</v>
      </c>
      <c r="CV30" s="24">
        <v>4</v>
      </c>
      <c r="CW30" s="24">
        <v>1</v>
      </c>
      <c r="CX30" s="24">
        <v>2</v>
      </c>
      <c r="CY30" s="24">
        <v>4</v>
      </c>
      <c r="CZ30" s="24">
        <v>1</v>
      </c>
      <c r="DA30" s="24">
        <v>3</v>
      </c>
      <c r="DB30" s="24" t="s">
        <v>247</v>
      </c>
      <c r="DC30" s="24">
        <v>4</v>
      </c>
      <c r="DD30" s="24" t="s">
        <v>380</v>
      </c>
      <c r="DE30" s="24" t="s">
        <v>156</v>
      </c>
      <c r="DJ30" s="24" t="s">
        <v>210</v>
      </c>
      <c r="DK30" s="24" t="s">
        <v>650</v>
      </c>
    </row>
    <row r="31" spans="1:115" ht="22.5" customHeight="1" x14ac:dyDescent="0.2">
      <c r="A31" s="23">
        <v>46062.712266527778</v>
      </c>
      <c r="B31" s="24" t="s">
        <v>651</v>
      </c>
      <c r="C31" s="24">
        <v>0</v>
      </c>
      <c r="D31" s="24" t="s">
        <v>652</v>
      </c>
      <c r="E31" s="24" t="s">
        <v>653</v>
      </c>
      <c r="F31" s="24" t="s">
        <v>163</v>
      </c>
      <c r="G31" s="24">
        <v>62</v>
      </c>
      <c r="H31" s="25" t="s">
        <v>654</v>
      </c>
      <c r="I31" s="24" t="s">
        <v>275</v>
      </c>
      <c r="J31" s="24" t="s">
        <v>301</v>
      </c>
      <c r="K31" s="24" t="s">
        <v>317</v>
      </c>
      <c r="M31" s="24" t="s">
        <v>156</v>
      </c>
      <c r="N31" s="24" t="s">
        <v>215</v>
      </c>
      <c r="O31" s="24" t="s">
        <v>216</v>
      </c>
      <c r="P31" s="24" t="s">
        <v>136</v>
      </c>
      <c r="Q31" s="24" t="s">
        <v>502</v>
      </c>
      <c r="R31" s="24" t="s">
        <v>199</v>
      </c>
      <c r="S31" s="24" t="s">
        <v>218</v>
      </c>
      <c r="T31" s="24" t="s">
        <v>136</v>
      </c>
      <c r="U31" s="24" t="s">
        <v>356</v>
      </c>
      <c r="V31" s="24" t="s">
        <v>199</v>
      </c>
      <c r="AI31" s="24" t="s">
        <v>319</v>
      </c>
      <c r="AJ31" s="24" t="s">
        <v>136</v>
      </c>
      <c r="AK31" s="24" t="s">
        <v>136</v>
      </c>
      <c r="AL31" s="24" t="s">
        <v>136</v>
      </c>
      <c r="AM31" s="24" t="s">
        <v>136</v>
      </c>
      <c r="AN31" s="24" t="s">
        <v>156</v>
      </c>
      <c r="AO31" s="24" t="s">
        <v>156</v>
      </c>
      <c r="AP31" s="24" t="s">
        <v>156</v>
      </c>
      <c r="AQ31" s="24" t="s">
        <v>156</v>
      </c>
      <c r="AY31" s="24" t="s">
        <v>167</v>
      </c>
      <c r="AZ31" s="24" t="s">
        <v>156</v>
      </c>
      <c r="BB31" s="24" t="s">
        <v>655</v>
      </c>
      <c r="BC31" s="24" t="s">
        <v>656</v>
      </c>
      <c r="BD31" s="24" t="s">
        <v>393</v>
      </c>
      <c r="BE31" s="24" t="s">
        <v>373</v>
      </c>
      <c r="CB31" s="24" t="s">
        <v>149</v>
      </c>
      <c r="CC31" s="24" t="s">
        <v>150</v>
      </c>
      <c r="CD31" s="24" t="s">
        <v>229</v>
      </c>
      <c r="CE31" s="24" t="s">
        <v>204</v>
      </c>
      <c r="CF31" s="24" t="s">
        <v>243</v>
      </c>
      <c r="CG31" s="24">
        <v>3</v>
      </c>
      <c r="CH31" s="24" t="s">
        <v>389</v>
      </c>
      <c r="CI31" s="24" t="s">
        <v>657</v>
      </c>
      <c r="CJ31" s="24" t="s">
        <v>136</v>
      </c>
      <c r="CK31" s="24" t="s">
        <v>279</v>
      </c>
      <c r="CL31" s="24">
        <v>2</v>
      </c>
      <c r="CM31" s="24">
        <v>2</v>
      </c>
      <c r="CN31" s="24">
        <v>2</v>
      </c>
      <c r="CO31" s="24">
        <v>3</v>
      </c>
      <c r="CP31" s="24">
        <v>3</v>
      </c>
      <c r="CQ31" s="24">
        <v>2</v>
      </c>
      <c r="CR31" s="24">
        <v>2</v>
      </c>
      <c r="CS31" s="24">
        <v>3</v>
      </c>
      <c r="CT31" s="24">
        <v>2</v>
      </c>
      <c r="CU31" s="24">
        <v>2</v>
      </c>
      <c r="CV31" s="24">
        <v>3</v>
      </c>
      <c r="CW31" s="24">
        <v>2</v>
      </c>
      <c r="CX31" s="24">
        <v>2</v>
      </c>
      <c r="CY31" s="24">
        <v>3</v>
      </c>
      <c r="CZ31" s="24">
        <v>2</v>
      </c>
      <c r="DA31" s="24">
        <v>3</v>
      </c>
      <c r="DB31" s="24" t="s">
        <v>366</v>
      </c>
      <c r="DC31" s="24">
        <v>3</v>
      </c>
      <c r="DD31" s="24" t="s">
        <v>261</v>
      </c>
      <c r="DE31" s="24" t="s">
        <v>156</v>
      </c>
      <c r="DJ31" s="24" t="s">
        <v>137</v>
      </c>
      <c r="DK31" s="24" t="s">
        <v>137</v>
      </c>
    </row>
    <row r="32" spans="1:115" ht="22.5" customHeight="1" x14ac:dyDescent="0.2">
      <c r="A32" s="23">
        <v>46062.716781793977</v>
      </c>
      <c r="B32" s="24" t="s">
        <v>658</v>
      </c>
      <c r="C32" s="24">
        <v>0</v>
      </c>
      <c r="D32" s="24" t="s">
        <v>659</v>
      </c>
      <c r="E32" s="24" t="s">
        <v>660</v>
      </c>
      <c r="F32" s="24" t="s">
        <v>163</v>
      </c>
      <c r="G32" s="24">
        <v>62</v>
      </c>
      <c r="H32" s="25" t="s">
        <v>661</v>
      </c>
      <c r="I32" s="24" t="s">
        <v>275</v>
      </c>
      <c r="J32" s="24" t="s">
        <v>344</v>
      </c>
      <c r="K32" s="24" t="s">
        <v>135</v>
      </c>
      <c r="M32" s="24" t="s">
        <v>136</v>
      </c>
      <c r="N32" s="24" t="s">
        <v>264</v>
      </c>
      <c r="O32" s="24" t="s">
        <v>199</v>
      </c>
      <c r="P32" s="24" t="s">
        <v>156</v>
      </c>
      <c r="R32" s="24" t="s">
        <v>270</v>
      </c>
      <c r="S32" s="24" t="s">
        <v>218</v>
      </c>
      <c r="T32" s="24" t="s">
        <v>136</v>
      </c>
      <c r="U32" s="24" t="s">
        <v>335</v>
      </c>
      <c r="V32" s="24" t="s">
        <v>199</v>
      </c>
      <c r="AI32" s="24" t="s">
        <v>304</v>
      </c>
      <c r="AJ32" s="24" t="s">
        <v>136</v>
      </c>
      <c r="AK32" s="24" t="s">
        <v>156</v>
      </c>
      <c r="AL32" s="24" t="s">
        <v>136</v>
      </c>
      <c r="AM32" s="24" t="s">
        <v>156</v>
      </c>
      <c r="AN32" s="24" t="s">
        <v>136</v>
      </c>
      <c r="AO32" s="24" t="s">
        <v>136</v>
      </c>
      <c r="AP32" s="24" t="s">
        <v>156</v>
      </c>
      <c r="AQ32" s="24" t="s">
        <v>136</v>
      </c>
      <c r="BU32" s="24" t="s">
        <v>167</v>
      </c>
      <c r="BV32" s="24" t="s">
        <v>156</v>
      </c>
      <c r="BX32" s="24" t="s">
        <v>662</v>
      </c>
      <c r="BY32" s="24" t="s">
        <v>376</v>
      </c>
      <c r="BZ32" s="24" t="s">
        <v>427</v>
      </c>
      <c r="CA32" s="24" t="s">
        <v>377</v>
      </c>
      <c r="CB32" s="24" t="s">
        <v>149</v>
      </c>
      <c r="CC32" s="24" t="s">
        <v>150</v>
      </c>
      <c r="CD32" s="24" t="s">
        <v>229</v>
      </c>
      <c r="CE32" s="24" t="s">
        <v>204</v>
      </c>
      <c r="CF32" s="24" t="s">
        <v>243</v>
      </c>
      <c r="CG32" s="24">
        <v>4</v>
      </c>
      <c r="CH32" s="24" t="s">
        <v>286</v>
      </c>
      <c r="CI32" s="24" t="s">
        <v>309</v>
      </c>
      <c r="CJ32" s="24" t="s">
        <v>136</v>
      </c>
      <c r="CK32" s="24" t="s">
        <v>537</v>
      </c>
      <c r="CL32" s="24">
        <v>1</v>
      </c>
      <c r="CM32" s="24">
        <v>1</v>
      </c>
      <c r="CN32" s="24">
        <v>1</v>
      </c>
      <c r="CO32" s="24">
        <v>1</v>
      </c>
      <c r="CP32" s="24">
        <v>1</v>
      </c>
      <c r="CQ32" s="24">
        <v>1</v>
      </c>
      <c r="CR32" s="24">
        <v>1</v>
      </c>
      <c r="CS32" s="24">
        <v>1</v>
      </c>
      <c r="CT32" s="24">
        <v>1</v>
      </c>
      <c r="CU32" s="24">
        <v>1</v>
      </c>
      <c r="CV32" s="24">
        <v>1</v>
      </c>
      <c r="CW32" s="24">
        <v>1</v>
      </c>
      <c r="CX32" s="24">
        <v>1</v>
      </c>
      <c r="CY32" s="24">
        <v>1</v>
      </c>
      <c r="CZ32" s="24">
        <v>1</v>
      </c>
      <c r="DA32" s="24">
        <v>2</v>
      </c>
      <c r="DB32" s="24" t="s">
        <v>379</v>
      </c>
      <c r="DC32" s="24">
        <v>1</v>
      </c>
      <c r="DD32" s="24" t="s">
        <v>663</v>
      </c>
      <c r="DE32" s="24" t="s">
        <v>156</v>
      </c>
      <c r="DJ32" s="24" t="s">
        <v>664</v>
      </c>
      <c r="DK32" s="24" t="s">
        <v>665</v>
      </c>
    </row>
    <row r="33" spans="1:115" ht="22.5" customHeight="1" x14ac:dyDescent="0.2">
      <c r="A33" s="23">
        <v>46062.718526724537</v>
      </c>
      <c r="B33" s="24" t="s">
        <v>666</v>
      </c>
      <c r="C33" s="24">
        <v>0</v>
      </c>
      <c r="D33" s="24" t="s">
        <v>667</v>
      </c>
      <c r="E33" s="24" t="s">
        <v>668</v>
      </c>
      <c r="F33" s="24" t="s">
        <v>163</v>
      </c>
      <c r="G33" s="24">
        <v>60</v>
      </c>
      <c r="H33" s="25" t="s">
        <v>669</v>
      </c>
      <c r="I33" s="24" t="s">
        <v>194</v>
      </c>
      <c r="J33" s="24" t="s">
        <v>384</v>
      </c>
      <c r="K33" s="24" t="s">
        <v>135</v>
      </c>
      <c r="M33" s="24" t="s">
        <v>136</v>
      </c>
      <c r="N33" s="24" t="s">
        <v>425</v>
      </c>
      <c r="O33" s="24" t="s">
        <v>355</v>
      </c>
      <c r="P33" s="24" t="s">
        <v>136</v>
      </c>
      <c r="Q33" s="24" t="s">
        <v>502</v>
      </c>
      <c r="R33" s="24" t="s">
        <v>270</v>
      </c>
      <c r="S33" s="24" t="s">
        <v>266</v>
      </c>
      <c r="T33" s="24" t="s">
        <v>136</v>
      </c>
      <c r="U33" s="24" t="s">
        <v>256</v>
      </c>
      <c r="V33" s="24" t="s">
        <v>199</v>
      </c>
      <c r="AI33" s="24" t="s">
        <v>670</v>
      </c>
      <c r="AJ33" s="24" t="s">
        <v>136</v>
      </c>
      <c r="AK33" s="24" t="s">
        <v>156</v>
      </c>
      <c r="AL33" s="24" t="s">
        <v>136</v>
      </c>
      <c r="AM33" s="24" t="s">
        <v>136</v>
      </c>
      <c r="AN33" s="24" t="s">
        <v>136</v>
      </c>
      <c r="AO33" s="24" t="s">
        <v>156</v>
      </c>
      <c r="AP33" s="24" t="s">
        <v>136</v>
      </c>
      <c r="AQ33" s="24" t="s">
        <v>156</v>
      </c>
      <c r="AR33" s="24" t="s">
        <v>167</v>
      </c>
      <c r="AS33" s="24" t="s">
        <v>156</v>
      </c>
      <c r="AV33" s="24" t="s">
        <v>671</v>
      </c>
      <c r="AW33" s="24" t="s">
        <v>447</v>
      </c>
      <c r="AX33" s="24" t="s">
        <v>406</v>
      </c>
      <c r="CB33" s="24" t="s">
        <v>149</v>
      </c>
      <c r="CC33" s="24" t="s">
        <v>150</v>
      </c>
      <c r="CD33" s="24" t="s">
        <v>151</v>
      </c>
      <c r="CE33" s="24" t="s">
        <v>152</v>
      </c>
      <c r="CF33" s="24" t="s">
        <v>243</v>
      </c>
      <c r="CG33" s="24">
        <v>4</v>
      </c>
      <c r="CH33" s="24" t="s">
        <v>244</v>
      </c>
      <c r="CI33" s="24" t="s">
        <v>155</v>
      </c>
      <c r="CJ33" s="24" t="s">
        <v>136</v>
      </c>
      <c r="CK33" s="24" t="s">
        <v>512</v>
      </c>
      <c r="CL33" s="24">
        <v>1</v>
      </c>
      <c r="CM33" s="24">
        <v>1</v>
      </c>
      <c r="CN33" s="24">
        <v>1</v>
      </c>
      <c r="CO33" s="24">
        <v>1</v>
      </c>
      <c r="CP33" s="24">
        <v>1</v>
      </c>
      <c r="CQ33" s="24">
        <v>1</v>
      </c>
      <c r="CR33" s="24">
        <v>1</v>
      </c>
      <c r="CS33" s="24">
        <v>4</v>
      </c>
      <c r="CT33" s="24">
        <v>1</v>
      </c>
      <c r="CU33" s="24">
        <v>2</v>
      </c>
      <c r="CV33" s="24">
        <v>4</v>
      </c>
      <c r="CW33" s="24">
        <v>2</v>
      </c>
      <c r="CX33" s="24">
        <v>2</v>
      </c>
      <c r="CY33" s="24">
        <v>4</v>
      </c>
      <c r="CZ33" s="24">
        <v>2</v>
      </c>
      <c r="DA33" s="24">
        <v>2</v>
      </c>
      <c r="DB33" s="24" t="s">
        <v>310</v>
      </c>
      <c r="DC33" s="24">
        <v>3</v>
      </c>
      <c r="DD33" s="24" t="s">
        <v>672</v>
      </c>
      <c r="DE33" s="24" t="s">
        <v>156</v>
      </c>
      <c r="DJ33" s="24" t="s">
        <v>262</v>
      </c>
      <c r="DK33" s="24" t="s">
        <v>673</v>
      </c>
    </row>
    <row r="34" spans="1:115" ht="22.5" customHeight="1" x14ac:dyDescent="0.2">
      <c r="A34" s="23">
        <v>46062.727804479167</v>
      </c>
      <c r="B34" s="24" t="s">
        <v>674</v>
      </c>
      <c r="C34" s="24">
        <v>0</v>
      </c>
      <c r="D34" s="24" t="s">
        <v>675</v>
      </c>
      <c r="E34" s="24" t="s">
        <v>676</v>
      </c>
      <c r="F34" s="24" t="s">
        <v>163</v>
      </c>
      <c r="G34" s="24">
        <v>61</v>
      </c>
      <c r="H34" s="25" t="s">
        <v>677</v>
      </c>
      <c r="I34" s="24" t="s">
        <v>194</v>
      </c>
      <c r="J34" s="24" t="s">
        <v>301</v>
      </c>
      <c r="K34" s="24" t="s">
        <v>196</v>
      </c>
      <c r="M34" s="24" t="s">
        <v>136</v>
      </c>
      <c r="N34" s="24" t="s">
        <v>240</v>
      </c>
      <c r="O34" s="24" t="s">
        <v>199</v>
      </c>
      <c r="P34" s="24" t="s">
        <v>136</v>
      </c>
      <c r="Q34" s="24" t="s">
        <v>303</v>
      </c>
      <c r="R34" s="24" t="s">
        <v>199</v>
      </c>
      <c r="S34" s="24" t="s">
        <v>277</v>
      </c>
      <c r="T34" s="24" t="s">
        <v>136</v>
      </c>
      <c r="U34" s="24" t="s">
        <v>202</v>
      </c>
      <c r="V34" s="24" t="s">
        <v>199</v>
      </c>
      <c r="AI34" s="24" t="s">
        <v>144</v>
      </c>
      <c r="AJ34" s="24" t="s">
        <v>136</v>
      </c>
      <c r="AK34" s="24" t="s">
        <v>136</v>
      </c>
      <c r="AL34" s="24" t="s">
        <v>136</v>
      </c>
      <c r="AM34" s="24" t="s">
        <v>136</v>
      </c>
      <c r="AN34" s="24" t="s">
        <v>136</v>
      </c>
      <c r="AO34" s="24" t="s">
        <v>136</v>
      </c>
      <c r="AP34" s="24" t="s">
        <v>136</v>
      </c>
      <c r="AQ34" s="24" t="s">
        <v>136</v>
      </c>
      <c r="BN34" s="24" t="s">
        <v>167</v>
      </c>
      <c r="BO34" s="24" t="s">
        <v>156</v>
      </c>
      <c r="BQ34" s="24" t="s">
        <v>678</v>
      </c>
      <c r="BR34" s="24" t="s">
        <v>168</v>
      </c>
      <c r="BS34" s="24" t="s">
        <v>169</v>
      </c>
      <c r="BT34" s="24" t="s">
        <v>227</v>
      </c>
      <c r="CB34" s="24" t="s">
        <v>228</v>
      </c>
      <c r="CC34" s="24" t="s">
        <v>150</v>
      </c>
      <c r="CD34" s="24" t="s">
        <v>229</v>
      </c>
      <c r="CE34" s="24" t="s">
        <v>152</v>
      </c>
      <c r="CF34" s="24" t="s">
        <v>153</v>
      </c>
      <c r="CG34" s="24">
        <v>4</v>
      </c>
      <c r="CH34" s="24" t="s">
        <v>154</v>
      </c>
      <c r="CI34" s="24" t="s">
        <v>398</v>
      </c>
      <c r="CJ34" s="24" t="s">
        <v>136</v>
      </c>
      <c r="CK34" s="24" t="s">
        <v>231</v>
      </c>
      <c r="CL34" s="24">
        <v>1</v>
      </c>
      <c r="CM34" s="24">
        <v>1</v>
      </c>
      <c r="CN34" s="24">
        <v>1</v>
      </c>
      <c r="CO34" s="24">
        <v>1</v>
      </c>
      <c r="CP34" s="24">
        <v>2</v>
      </c>
      <c r="CQ34" s="24">
        <v>2</v>
      </c>
      <c r="CR34" s="24">
        <v>3</v>
      </c>
      <c r="CS34" s="24">
        <v>3</v>
      </c>
      <c r="CT34" s="24">
        <v>2</v>
      </c>
      <c r="CU34" s="24">
        <v>2</v>
      </c>
      <c r="CV34" s="24">
        <v>3</v>
      </c>
      <c r="CW34" s="24">
        <v>3</v>
      </c>
      <c r="CX34" s="24">
        <v>2</v>
      </c>
      <c r="CY34" s="24">
        <v>2</v>
      </c>
      <c r="CZ34" s="24">
        <v>2</v>
      </c>
      <c r="DA34" s="24">
        <v>2</v>
      </c>
      <c r="DB34" s="24" t="s">
        <v>413</v>
      </c>
      <c r="DC34" s="24">
        <v>3</v>
      </c>
      <c r="DD34" s="24" t="s">
        <v>325</v>
      </c>
      <c r="DE34" s="24" t="s">
        <v>156</v>
      </c>
      <c r="DJ34" s="24" t="s">
        <v>210</v>
      </c>
      <c r="DK34" s="24" t="s">
        <v>137</v>
      </c>
    </row>
    <row r="35" spans="1:115" ht="22.5" customHeight="1" x14ac:dyDescent="0.2">
      <c r="A35" s="23">
        <v>46062.733651562499</v>
      </c>
      <c r="B35" s="24" t="s">
        <v>679</v>
      </c>
      <c r="C35" s="24">
        <v>0</v>
      </c>
      <c r="D35" s="24" t="s">
        <v>680</v>
      </c>
      <c r="E35" s="24" t="s">
        <v>681</v>
      </c>
      <c r="F35" s="24" t="s">
        <v>163</v>
      </c>
      <c r="G35" s="24">
        <v>59</v>
      </c>
      <c r="H35" s="25" t="s">
        <v>682</v>
      </c>
      <c r="I35" s="24" t="s">
        <v>194</v>
      </c>
      <c r="J35" s="24" t="s">
        <v>133</v>
      </c>
      <c r="K35" s="24" t="s">
        <v>135</v>
      </c>
      <c r="M35" s="24" t="s">
        <v>136</v>
      </c>
      <c r="N35" s="24" t="s">
        <v>240</v>
      </c>
      <c r="O35" s="24" t="s">
        <v>199</v>
      </c>
      <c r="P35" s="24" t="s">
        <v>156</v>
      </c>
      <c r="Q35" s="24" t="s">
        <v>215</v>
      </c>
      <c r="R35" s="24" t="s">
        <v>217</v>
      </c>
      <c r="S35" s="24" t="s">
        <v>277</v>
      </c>
      <c r="T35" s="24" t="s">
        <v>136</v>
      </c>
      <c r="U35" s="24" t="s">
        <v>202</v>
      </c>
      <c r="V35" s="24" t="s">
        <v>199</v>
      </c>
      <c r="AI35" s="24" t="s">
        <v>144</v>
      </c>
      <c r="AJ35" s="24" t="s">
        <v>136</v>
      </c>
      <c r="AK35" s="24" t="s">
        <v>136</v>
      </c>
      <c r="AL35" s="24" t="s">
        <v>136</v>
      </c>
      <c r="AM35" s="24" t="s">
        <v>136</v>
      </c>
      <c r="AN35" s="24" t="s">
        <v>136</v>
      </c>
      <c r="AO35" s="24" t="s">
        <v>136</v>
      </c>
      <c r="AP35" s="24" t="s">
        <v>136</v>
      </c>
      <c r="AQ35" s="24" t="s">
        <v>136</v>
      </c>
      <c r="BN35" s="24" t="s">
        <v>167</v>
      </c>
      <c r="BO35" s="24" t="s">
        <v>136</v>
      </c>
      <c r="BP35" s="24" t="s">
        <v>683</v>
      </c>
      <c r="BR35" s="24" t="s">
        <v>271</v>
      </c>
      <c r="BS35" s="24" t="s">
        <v>169</v>
      </c>
      <c r="BT35" s="24" t="s">
        <v>340</v>
      </c>
      <c r="CB35" s="24" t="s">
        <v>149</v>
      </c>
      <c r="CC35" s="24" t="s">
        <v>150</v>
      </c>
      <c r="CD35" s="24" t="s">
        <v>229</v>
      </c>
      <c r="CE35" s="24" t="s">
        <v>152</v>
      </c>
      <c r="CF35" s="24" t="s">
        <v>153</v>
      </c>
      <c r="CG35" s="24">
        <v>3</v>
      </c>
      <c r="CH35" s="24" t="s">
        <v>154</v>
      </c>
      <c r="CI35" s="24" t="s">
        <v>206</v>
      </c>
      <c r="CJ35" s="24" t="s">
        <v>156</v>
      </c>
      <c r="CK35" s="24" t="s">
        <v>207</v>
      </c>
      <c r="CL35" s="24">
        <v>1</v>
      </c>
      <c r="CM35" s="24">
        <v>1</v>
      </c>
      <c r="CN35" s="24">
        <v>1</v>
      </c>
      <c r="CO35" s="24">
        <v>3</v>
      </c>
      <c r="CP35" s="24">
        <v>3</v>
      </c>
      <c r="CQ35" s="24">
        <v>2</v>
      </c>
      <c r="CR35" s="24">
        <v>3</v>
      </c>
      <c r="CS35" s="24">
        <v>3</v>
      </c>
      <c r="CT35" s="24">
        <v>1</v>
      </c>
      <c r="CU35" s="24">
        <v>2</v>
      </c>
      <c r="CV35" s="24">
        <v>2</v>
      </c>
      <c r="CW35" s="24">
        <v>2</v>
      </c>
      <c r="CX35" s="24">
        <v>2</v>
      </c>
      <c r="CY35" s="24">
        <v>2</v>
      </c>
      <c r="CZ35" s="24">
        <v>2</v>
      </c>
      <c r="DA35" s="24">
        <v>2</v>
      </c>
      <c r="DB35" s="24" t="s">
        <v>288</v>
      </c>
      <c r="DC35" s="24">
        <v>3</v>
      </c>
      <c r="DD35" s="24" t="s">
        <v>261</v>
      </c>
      <c r="DE35" s="24" t="s">
        <v>156</v>
      </c>
      <c r="DJ35" s="24" t="s">
        <v>210</v>
      </c>
      <c r="DK35" s="24" t="s">
        <v>137</v>
      </c>
    </row>
    <row r="36" spans="1:115" ht="22.5" customHeight="1" x14ac:dyDescent="0.2">
      <c r="A36" s="23">
        <v>46062.742890127316</v>
      </c>
      <c r="B36" s="24" t="s">
        <v>684</v>
      </c>
      <c r="C36" s="24">
        <v>0</v>
      </c>
      <c r="D36" s="24" t="s">
        <v>685</v>
      </c>
      <c r="E36" s="24" t="s">
        <v>686</v>
      </c>
      <c r="F36" s="24" t="s">
        <v>128</v>
      </c>
      <c r="G36" s="24">
        <v>59</v>
      </c>
      <c r="H36" s="25" t="s">
        <v>687</v>
      </c>
      <c r="I36" s="24" t="s">
        <v>194</v>
      </c>
      <c r="J36" s="24" t="s">
        <v>133</v>
      </c>
      <c r="K36" s="24" t="s">
        <v>135</v>
      </c>
      <c r="M36" s="24" t="s">
        <v>136</v>
      </c>
      <c r="N36" s="24" t="s">
        <v>198</v>
      </c>
      <c r="O36" s="24" t="s">
        <v>199</v>
      </c>
      <c r="P36" s="24" t="s">
        <v>156</v>
      </c>
      <c r="Q36" s="24" t="s">
        <v>215</v>
      </c>
      <c r="R36" s="24" t="s">
        <v>270</v>
      </c>
      <c r="S36" s="24" t="s">
        <v>266</v>
      </c>
      <c r="T36" s="24" t="s">
        <v>136</v>
      </c>
      <c r="U36" s="24" t="s">
        <v>241</v>
      </c>
      <c r="V36" s="24" t="s">
        <v>199</v>
      </c>
      <c r="AI36" s="24" t="s">
        <v>144</v>
      </c>
      <c r="AJ36" s="24" t="s">
        <v>136</v>
      </c>
      <c r="AK36" s="24" t="s">
        <v>136</v>
      </c>
      <c r="AL36" s="24" t="s">
        <v>156</v>
      </c>
      <c r="AM36" s="24" t="s">
        <v>136</v>
      </c>
      <c r="AN36" s="24" t="s">
        <v>156</v>
      </c>
      <c r="AO36" s="24" t="s">
        <v>136</v>
      </c>
      <c r="AP36" s="24" t="s">
        <v>156</v>
      </c>
      <c r="AQ36" s="24" t="s">
        <v>156</v>
      </c>
      <c r="BN36" s="24" t="s">
        <v>167</v>
      </c>
      <c r="BO36" s="24" t="s">
        <v>156</v>
      </c>
      <c r="BQ36" s="24" t="s">
        <v>688</v>
      </c>
      <c r="BR36" s="24" t="s">
        <v>327</v>
      </c>
      <c r="BS36" s="24" t="s">
        <v>518</v>
      </c>
      <c r="BT36" s="24" t="s">
        <v>170</v>
      </c>
      <c r="CB36" s="24" t="s">
        <v>149</v>
      </c>
      <c r="CC36" s="24" t="s">
        <v>150</v>
      </c>
      <c r="CD36" s="24" t="s">
        <v>322</v>
      </c>
      <c r="CE36" s="24" t="s">
        <v>152</v>
      </c>
      <c r="CF36" s="24" t="s">
        <v>153</v>
      </c>
      <c r="CG36" s="24">
        <v>4</v>
      </c>
      <c r="CH36" s="24" t="s">
        <v>434</v>
      </c>
      <c r="CI36" s="24" t="s">
        <v>206</v>
      </c>
      <c r="CJ36" s="24" t="s">
        <v>156</v>
      </c>
      <c r="CK36" s="24" t="s">
        <v>362</v>
      </c>
      <c r="CL36" s="24">
        <v>1</v>
      </c>
      <c r="CM36" s="24">
        <v>1</v>
      </c>
      <c r="CN36" s="24">
        <v>2</v>
      </c>
      <c r="CO36" s="24">
        <v>4</v>
      </c>
      <c r="CP36" s="24">
        <v>1</v>
      </c>
      <c r="CQ36" s="24">
        <v>1</v>
      </c>
      <c r="CR36" s="24">
        <v>2</v>
      </c>
      <c r="CS36" s="24">
        <v>4</v>
      </c>
      <c r="CT36" s="24">
        <v>1</v>
      </c>
      <c r="CU36" s="24">
        <v>2</v>
      </c>
      <c r="CV36" s="24">
        <v>4</v>
      </c>
      <c r="CW36" s="24">
        <v>1</v>
      </c>
      <c r="CX36" s="24">
        <v>2</v>
      </c>
      <c r="CY36" s="24">
        <v>4</v>
      </c>
      <c r="CZ36" s="24">
        <v>1</v>
      </c>
      <c r="DA36" s="24">
        <v>1</v>
      </c>
      <c r="DB36" s="24" t="s">
        <v>310</v>
      </c>
      <c r="DC36" s="24">
        <v>2</v>
      </c>
      <c r="DD36" s="24" t="s">
        <v>157</v>
      </c>
      <c r="DE36" s="24" t="s">
        <v>156</v>
      </c>
      <c r="DJ36" s="24" t="s">
        <v>442</v>
      </c>
      <c r="DK36" s="24" t="s">
        <v>137</v>
      </c>
    </row>
    <row r="37" spans="1:115" ht="22.5" customHeight="1" x14ac:dyDescent="0.2">
      <c r="A37" s="23">
        <v>46062.74840329861</v>
      </c>
      <c r="B37" s="24" t="s">
        <v>689</v>
      </c>
      <c r="C37" s="24">
        <v>0</v>
      </c>
      <c r="D37" s="24" t="s">
        <v>690</v>
      </c>
      <c r="E37" s="24" t="s">
        <v>691</v>
      </c>
      <c r="F37" s="24" t="s">
        <v>163</v>
      </c>
      <c r="G37" s="24">
        <v>61</v>
      </c>
      <c r="H37" s="25" t="s">
        <v>692</v>
      </c>
      <c r="I37" s="24" t="s">
        <v>194</v>
      </c>
      <c r="J37" s="24" t="s">
        <v>301</v>
      </c>
      <c r="K37" s="24" t="s">
        <v>135</v>
      </c>
      <c r="M37" s="24" t="s">
        <v>136</v>
      </c>
      <c r="N37" s="24" t="s">
        <v>240</v>
      </c>
      <c r="O37" s="24" t="s">
        <v>199</v>
      </c>
      <c r="P37" s="24" t="s">
        <v>136</v>
      </c>
      <c r="Q37" s="24" t="s">
        <v>502</v>
      </c>
      <c r="R37" s="24" t="s">
        <v>199</v>
      </c>
      <c r="S37" s="24" t="s">
        <v>277</v>
      </c>
      <c r="T37" s="24" t="s">
        <v>136</v>
      </c>
      <c r="U37" s="24" t="s">
        <v>693</v>
      </c>
      <c r="V37" s="24" t="s">
        <v>199</v>
      </c>
      <c r="AI37" s="24" t="s">
        <v>144</v>
      </c>
      <c r="AJ37" s="24" t="s">
        <v>136</v>
      </c>
      <c r="AK37" s="24" t="s">
        <v>136</v>
      </c>
      <c r="AL37" s="24" t="s">
        <v>136</v>
      </c>
      <c r="AM37" s="24" t="s">
        <v>156</v>
      </c>
      <c r="AN37" s="24" t="s">
        <v>136</v>
      </c>
      <c r="AO37" s="24" t="s">
        <v>136</v>
      </c>
      <c r="AP37" s="24" t="s">
        <v>156</v>
      </c>
      <c r="AQ37" s="24" t="s">
        <v>156</v>
      </c>
      <c r="BN37" s="24" t="s">
        <v>167</v>
      </c>
      <c r="BO37" s="24" t="s">
        <v>136</v>
      </c>
      <c r="BP37" s="24" t="s">
        <v>694</v>
      </c>
      <c r="BR37" s="24" t="s">
        <v>168</v>
      </c>
      <c r="BS37" s="24" t="s">
        <v>169</v>
      </c>
      <c r="BT37" s="24" t="s">
        <v>170</v>
      </c>
      <c r="CB37" s="24" t="s">
        <v>149</v>
      </c>
      <c r="CC37" s="24" t="s">
        <v>242</v>
      </c>
      <c r="CD37" s="24" t="s">
        <v>229</v>
      </c>
      <c r="CE37" s="24" t="s">
        <v>152</v>
      </c>
      <c r="CF37" s="24" t="s">
        <v>243</v>
      </c>
      <c r="CG37" s="24">
        <v>4</v>
      </c>
      <c r="CH37" s="24" t="s">
        <v>154</v>
      </c>
      <c r="CI37" s="24" t="s">
        <v>392</v>
      </c>
      <c r="CJ37" s="24" t="s">
        <v>136</v>
      </c>
      <c r="CK37" s="24" t="s">
        <v>328</v>
      </c>
      <c r="CL37" s="24">
        <v>2</v>
      </c>
      <c r="CM37" s="24">
        <v>2</v>
      </c>
      <c r="CN37" s="24">
        <v>2</v>
      </c>
      <c r="CO37" s="24">
        <v>4</v>
      </c>
      <c r="CP37" s="24">
        <v>3</v>
      </c>
      <c r="CQ37" s="24">
        <v>2</v>
      </c>
      <c r="CR37" s="24">
        <v>3</v>
      </c>
      <c r="CS37" s="24">
        <v>3</v>
      </c>
      <c r="CT37" s="24">
        <v>2</v>
      </c>
      <c r="CU37" s="24">
        <v>3</v>
      </c>
      <c r="CV37" s="24">
        <v>2</v>
      </c>
      <c r="CW37" s="24">
        <v>2</v>
      </c>
      <c r="CX37" s="24">
        <v>4</v>
      </c>
      <c r="CY37" s="24">
        <v>4</v>
      </c>
      <c r="CZ37" s="24">
        <v>2</v>
      </c>
      <c r="DA37" s="24">
        <v>2</v>
      </c>
      <c r="DB37" s="24" t="s">
        <v>247</v>
      </c>
      <c r="DC37" s="24">
        <v>1</v>
      </c>
      <c r="DD37" s="24" t="s">
        <v>695</v>
      </c>
      <c r="DE37" s="24" t="s">
        <v>136</v>
      </c>
      <c r="DF37" s="24">
        <v>3</v>
      </c>
      <c r="DG37" s="24">
        <v>2</v>
      </c>
      <c r="DH37" s="24">
        <v>3</v>
      </c>
      <c r="DI37" s="24" t="s">
        <v>696</v>
      </c>
      <c r="DJ37" s="24" t="s">
        <v>262</v>
      </c>
      <c r="DK37" s="24" t="s">
        <v>697</v>
      </c>
    </row>
    <row r="38" spans="1:115" ht="22.5" customHeight="1" x14ac:dyDescent="0.2">
      <c r="A38" s="23">
        <v>46062.765724027777</v>
      </c>
      <c r="B38" s="24" t="s">
        <v>698</v>
      </c>
      <c r="C38" s="24">
        <v>0</v>
      </c>
      <c r="D38" s="24" t="s">
        <v>699</v>
      </c>
      <c r="E38" s="24" t="s">
        <v>700</v>
      </c>
      <c r="F38" s="24" t="s">
        <v>163</v>
      </c>
      <c r="G38" s="24">
        <v>60</v>
      </c>
      <c r="H38" s="25" t="s">
        <v>701</v>
      </c>
      <c r="I38" s="24" t="s">
        <v>194</v>
      </c>
      <c r="J38" s="24" t="s">
        <v>301</v>
      </c>
      <c r="K38" s="24" t="s">
        <v>135</v>
      </c>
      <c r="M38" s="24" t="s">
        <v>156</v>
      </c>
      <c r="N38" s="24" t="s">
        <v>215</v>
      </c>
      <c r="O38" s="24" t="s">
        <v>551</v>
      </c>
      <c r="P38" s="24" t="s">
        <v>136</v>
      </c>
      <c r="Q38" s="24" t="s">
        <v>502</v>
      </c>
      <c r="R38" s="24" t="s">
        <v>199</v>
      </c>
      <c r="S38" s="24" t="s">
        <v>277</v>
      </c>
      <c r="T38" s="24" t="s">
        <v>136</v>
      </c>
      <c r="U38" s="24" t="s">
        <v>356</v>
      </c>
      <c r="V38" s="24" t="s">
        <v>199</v>
      </c>
      <c r="AI38" s="24" t="s">
        <v>144</v>
      </c>
      <c r="AJ38" s="24" t="s">
        <v>136</v>
      </c>
      <c r="AK38" s="24" t="s">
        <v>136</v>
      </c>
      <c r="AL38" s="24" t="s">
        <v>156</v>
      </c>
      <c r="AM38" s="24" t="s">
        <v>136</v>
      </c>
      <c r="AN38" s="24" t="s">
        <v>156</v>
      </c>
      <c r="AO38" s="24" t="s">
        <v>156</v>
      </c>
      <c r="AP38" s="24" t="s">
        <v>156</v>
      </c>
      <c r="AQ38" s="24" t="s">
        <v>156</v>
      </c>
      <c r="BN38" s="24" t="s">
        <v>167</v>
      </c>
      <c r="BO38" s="24" t="s">
        <v>136</v>
      </c>
      <c r="BP38" s="24" t="s">
        <v>702</v>
      </c>
      <c r="BR38" s="24" t="s">
        <v>271</v>
      </c>
      <c r="BS38" s="24" t="s">
        <v>169</v>
      </c>
      <c r="BT38" s="24" t="s">
        <v>227</v>
      </c>
      <c r="CB38" s="24" t="s">
        <v>149</v>
      </c>
      <c r="CC38" s="24" t="s">
        <v>150</v>
      </c>
      <c r="CD38" s="24" t="s">
        <v>322</v>
      </c>
      <c r="CE38" s="24" t="s">
        <v>204</v>
      </c>
      <c r="CF38" s="24">
        <v>3</v>
      </c>
      <c r="CG38" s="24">
        <v>3</v>
      </c>
      <c r="CH38" s="24" t="s">
        <v>154</v>
      </c>
      <c r="CI38" s="24" t="s">
        <v>155</v>
      </c>
      <c r="CJ38" s="24" t="s">
        <v>136</v>
      </c>
      <c r="CK38" s="24" t="s">
        <v>231</v>
      </c>
      <c r="CL38" s="24">
        <v>2</v>
      </c>
      <c r="CM38" s="24">
        <v>2</v>
      </c>
      <c r="CN38" s="24">
        <v>3</v>
      </c>
      <c r="CO38" s="24">
        <v>3</v>
      </c>
      <c r="CP38" s="24">
        <v>1</v>
      </c>
      <c r="CQ38" s="24">
        <v>1</v>
      </c>
      <c r="CR38" s="24">
        <v>3</v>
      </c>
      <c r="CS38" s="24">
        <v>3</v>
      </c>
      <c r="CT38" s="24">
        <v>1</v>
      </c>
      <c r="CU38" s="24">
        <v>3</v>
      </c>
      <c r="CV38" s="24">
        <v>3</v>
      </c>
      <c r="CW38" s="24">
        <v>3</v>
      </c>
      <c r="CX38" s="24">
        <v>3</v>
      </c>
      <c r="CY38" s="24">
        <v>3</v>
      </c>
      <c r="CZ38" s="24">
        <v>1</v>
      </c>
      <c r="DA38" s="24">
        <v>2</v>
      </c>
      <c r="DB38" s="24" t="s">
        <v>310</v>
      </c>
      <c r="DC38" s="24">
        <v>2</v>
      </c>
      <c r="DD38" s="24" t="s">
        <v>424</v>
      </c>
      <c r="DE38" s="24" t="s">
        <v>156</v>
      </c>
      <c r="DJ38" s="24" t="s">
        <v>188</v>
      </c>
      <c r="DK38" s="24" t="s">
        <v>137</v>
      </c>
    </row>
    <row r="39" spans="1:115" ht="22.5" customHeight="1" x14ac:dyDescent="0.2">
      <c r="A39" s="23">
        <v>46062.775884641203</v>
      </c>
      <c r="B39" s="24" t="s">
        <v>703</v>
      </c>
      <c r="C39" s="24">
        <v>0</v>
      </c>
      <c r="D39" s="24" t="s">
        <v>704</v>
      </c>
      <c r="E39" s="24" t="s">
        <v>705</v>
      </c>
      <c r="F39" s="24" t="s">
        <v>128</v>
      </c>
      <c r="G39" s="24">
        <v>61</v>
      </c>
      <c r="H39" s="25" t="s">
        <v>706</v>
      </c>
      <c r="I39" s="24" t="s">
        <v>194</v>
      </c>
      <c r="J39" s="24" t="s">
        <v>133</v>
      </c>
      <c r="K39" s="24" t="s">
        <v>135</v>
      </c>
      <c r="M39" s="24" t="s">
        <v>136</v>
      </c>
      <c r="N39" s="24" t="s">
        <v>240</v>
      </c>
      <c r="O39" s="24" t="s">
        <v>355</v>
      </c>
      <c r="P39" s="24" t="s">
        <v>156</v>
      </c>
      <c r="Q39" s="24" t="s">
        <v>200</v>
      </c>
      <c r="R39" s="24" t="s">
        <v>217</v>
      </c>
      <c r="S39" s="24" t="s">
        <v>218</v>
      </c>
      <c r="T39" s="24" t="s">
        <v>136</v>
      </c>
      <c r="U39" s="24" t="s">
        <v>256</v>
      </c>
      <c r="V39" s="24" t="s">
        <v>199</v>
      </c>
      <c r="AI39" s="24" t="s">
        <v>203</v>
      </c>
      <c r="AJ39" s="24" t="s">
        <v>156</v>
      </c>
      <c r="AK39" s="24" t="s">
        <v>136</v>
      </c>
      <c r="AL39" s="24" t="s">
        <v>136</v>
      </c>
      <c r="AM39" s="24" t="s">
        <v>156</v>
      </c>
      <c r="AN39" s="24" t="s">
        <v>136</v>
      </c>
      <c r="AO39" s="24" t="s">
        <v>136</v>
      </c>
      <c r="AP39" s="24" t="s">
        <v>136</v>
      </c>
      <c r="AQ39" s="24" t="s">
        <v>156</v>
      </c>
      <c r="CB39" s="24" t="s">
        <v>267</v>
      </c>
      <c r="CC39" s="24" t="s">
        <v>242</v>
      </c>
      <c r="CD39" s="24" t="s">
        <v>229</v>
      </c>
      <c r="CE39" s="24" t="s">
        <v>204</v>
      </c>
      <c r="CF39" s="24" t="s">
        <v>707</v>
      </c>
      <c r="CG39" s="24">
        <v>4</v>
      </c>
      <c r="CH39" s="24" t="s">
        <v>244</v>
      </c>
      <c r="CI39" s="24" t="s">
        <v>259</v>
      </c>
      <c r="CJ39" s="24" t="s">
        <v>136</v>
      </c>
      <c r="CK39" s="24" t="s">
        <v>279</v>
      </c>
      <c r="CL39" s="24">
        <v>3</v>
      </c>
      <c r="CM39" s="24">
        <v>4</v>
      </c>
      <c r="CN39" s="24">
        <v>4</v>
      </c>
      <c r="CO39" s="24">
        <v>4</v>
      </c>
      <c r="CP39" s="24">
        <v>3</v>
      </c>
      <c r="CQ39" s="24">
        <v>2</v>
      </c>
      <c r="CR39" s="24">
        <v>2</v>
      </c>
      <c r="CS39" s="24">
        <v>2</v>
      </c>
      <c r="CT39" s="24">
        <v>2</v>
      </c>
      <c r="CU39" s="24">
        <v>2</v>
      </c>
      <c r="CV39" s="24">
        <v>2</v>
      </c>
      <c r="CW39" s="24">
        <v>2</v>
      </c>
      <c r="CX39" s="24">
        <v>2</v>
      </c>
      <c r="CY39" s="24">
        <v>2</v>
      </c>
      <c r="CZ39" s="24">
        <v>2</v>
      </c>
      <c r="DA39" s="24">
        <v>2</v>
      </c>
      <c r="DB39" s="24" t="s">
        <v>708</v>
      </c>
      <c r="DC39" s="24">
        <v>4</v>
      </c>
      <c r="DD39" s="24" t="s">
        <v>363</v>
      </c>
      <c r="DE39" s="24" t="s">
        <v>156</v>
      </c>
      <c r="DJ39" s="24" t="s">
        <v>262</v>
      </c>
      <c r="DK39" s="24" t="s">
        <v>137</v>
      </c>
    </row>
    <row r="40" spans="1:115" ht="22.5" customHeight="1" x14ac:dyDescent="0.2">
      <c r="A40" s="23">
        <v>46062.789762592598</v>
      </c>
      <c r="B40" s="24" t="s">
        <v>709</v>
      </c>
      <c r="C40" s="24">
        <v>0</v>
      </c>
      <c r="D40" s="24" t="s">
        <v>710</v>
      </c>
      <c r="E40" s="24" t="s">
        <v>711</v>
      </c>
      <c r="F40" s="24" t="s">
        <v>128</v>
      </c>
      <c r="G40" s="24">
        <v>61</v>
      </c>
      <c r="H40" s="25" t="s">
        <v>712</v>
      </c>
      <c r="I40" s="24" t="s">
        <v>194</v>
      </c>
      <c r="J40" s="24" t="s">
        <v>344</v>
      </c>
      <c r="K40" s="24" t="s">
        <v>135</v>
      </c>
      <c r="M40" s="24" t="s">
        <v>156</v>
      </c>
      <c r="N40" s="24" t="s">
        <v>215</v>
      </c>
      <c r="O40" s="24" t="s">
        <v>216</v>
      </c>
      <c r="P40" s="24" t="s">
        <v>136</v>
      </c>
      <c r="Q40" s="24" t="s">
        <v>254</v>
      </c>
      <c r="R40" s="24" t="s">
        <v>199</v>
      </c>
      <c r="S40" s="24" t="s">
        <v>544</v>
      </c>
      <c r="T40" s="24" t="s">
        <v>136</v>
      </c>
      <c r="U40" s="24" t="s">
        <v>256</v>
      </c>
      <c r="V40" s="24" t="s">
        <v>199</v>
      </c>
      <c r="AI40" s="24" t="s">
        <v>219</v>
      </c>
      <c r="AJ40" s="24" t="s">
        <v>136</v>
      </c>
      <c r="AK40" s="24" t="s">
        <v>156</v>
      </c>
      <c r="AL40" s="24" t="s">
        <v>136</v>
      </c>
      <c r="AM40" s="24" t="s">
        <v>136</v>
      </c>
      <c r="AN40" s="24" t="s">
        <v>156</v>
      </c>
      <c r="AO40" s="24" t="s">
        <v>136</v>
      </c>
      <c r="AP40" s="24" t="s">
        <v>136</v>
      </c>
      <c r="AQ40" s="24" t="s">
        <v>136</v>
      </c>
      <c r="BF40" s="24" t="s">
        <v>305</v>
      </c>
      <c r="BG40" s="24" t="s">
        <v>156</v>
      </c>
      <c r="BJ40" s="24" t="s">
        <v>156</v>
      </c>
      <c r="BK40" s="24" t="s">
        <v>713</v>
      </c>
      <c r="BL40" s="24" t="s">
        <v>386</v>
      </c>
      <c r="BM40" s="24" t="s">
        <v>714</v>
      </c>
      <c r="BN40" s="24" t="s">
        <v>305</v>
      </c>
      <c r="BO40" s="24" t="s">
        <v>156</v>
      </c>
      <c r="BR40" s="24" t="s">
        <v>168</v>
      </c>
      <c r="BS40" s="24" t="s">
        <v>169</v>
      </c>
      <c r="BT40" s="24" t="s">
        <v>340</v>
      </c>
      <c r="CB40" s="24" t="s">
        <v>149</v>
      </c>
      <c r="CC40" s="24" t="s">
        <v>150</v>
      </c>
      <c r="CD40" s="24" t="s">
        <v>229</v>
      </c>
      <c r="CE40" s="24" t="s">
        <v>152</v>
      </c>
      <c r="CF40" s="24" t="s">
        <v>243</v>
      </c>
      <c r="CG40" s="24">
        <v>4</v>
      </c>
      <c r="CH40" s="24" t="s">
        <v>481</v>
      </c>
      <c r="CI40" s="24" t="s">
        <v>206</v>
      </c>
      <c r="CJ40" s="24" t="s">
        <v>136</v>
      </c>
      <c r="CK40" s="24" t="s">
        <v>279</v>
      </c>
      <c r="CL40" s="24">
        <v>2</v>
      </c>
      <c r="CM40" s="24">
        <v>2</v>
      </c>
      <c r="CN40" s="24">
        <v>2</v>
      </c>
      <c r="CO40" s="24">
        <v>4</v>
      </c>
      <c r="CP40" s="24">
        <v>5</v>
      </c>
      <c r="CQ40" s="24">
        <v>2</v>
      </c>
      <c r="CR40" s="24">
        <v>3</v>
      </c>
      <c r="CS40" s="24">
        <v>3</v>
      </c>
      <c r="CT40" s="24">
        <v>2</v>
      </c>
      <c r="CU40" s="24">
        <v>2</v>
      </c>
      <c r="CV40" s="24">
        <v>2</v>
      </c>
      <c r="CW40" s="24">
        <v>2</v>
      </c>
      <c r="CX40" s="24">
        <v>2</v>
      </c>
      <c r="CY40" s="24">
        <v>2</v>
      </c>
      <c r="CZ40" s="24">
        <v>2</v>
      </c>
      <c r="DA40" s="24">
        <v>2</v>
      </c>
      <c r="DB40" s="24" t="s">
        <v>247</v>
      </c>
      <c r="DC40" s="24">
        <v>3</v>
      </c>
      <c r="DD40" s="24" t="s">
        <v>715</v>
      </c>
      <c r="DE40" s="24" t="s">
        <v>156</v>
      </c>
      <c r="DJ40" s="24" t="s">
        <v>210</v>
      </c>
      <c r="DK40" s="24" t="s">
        <v>716</v>
      </c>
    </row>
    <row r="41" spans="1:115" ht="22.5" customHeight="1" x14ac:dyDescent="0.2">
      <c r="A41" s="23">
        <v>46062.792858854169</v>
      </c>
      <c r="B41" s="24" t="s">
        <v>717</v>
      </c>
      <c r="C41" s="24">
        <v>0</v>
      </c>
      <c r="D41" s="24" t="s">
        <v>718</v>
      </c>
      <c r="E41" s="24" t="s">
        <v>719</v>
      </c>
      <c r="F41" s="24" t="s">
        <v>163</v>
      </c>
      <c r="G41" s="24">
        <v>61</v>
      </c>
      <c r="H41" s="25" t="s">
        <v>720</v>
      </c>
      <c r="I41" s="24" t="s">
        <v>194</v>
      </c>
      <c r="J41" s="24" t="s">
        <v>344</v>
      </c>
      <c r="K41" s="24" t="s">
        <v>135</v>
      </c>
      <c r="M41" s="24" t="s">
        <v>156</v>
      </c>
      <c r="N41" s="24" t="s">
        <v>215</v>
      </c>
      <c r="O41" s="24" t="s">
        <v>360</v>
      </c>
      <c r="P41" s="24" t="s">
        <v>156</v>
      </c>
      <c r="Q41" s="24" t="s">
        <v>215</v>
      </c>
      <c r="R41" s="24" t="s">
        <v>443</v>
      </c>
      <c r="S41" s="24" t="s">
        <v>218</v>
      </c>
      <c r="T41" s="24" t="s">
        <v>136</v>
      </c>
      <c r="U41" s="24" t="s">
        <v>356</v>
      </c>
      <c r="V41" s="24" t="s">
        <v>199</v>
      </c>
      <c r="AI41" s="24" t="s">
        <v>304</v>
      </c>
      <c r="AJ41" s="24" t="s">
        <v>136</v>
      </c>
      <c r="AK41" s="24" t="s">
        <v>156</v>
      </c>
      <c r="AL41" s="24" t="s">
        <v>136</v>
      </c>
      <c r="AM41" s="24" t="s">
        <v>136</v>
      </c>
      <c r="AN41" s="24" t="s">
        <v>136</v>
      </c>
      <c r="AO41" s="24" t="s">
        <v>156</v>
      </c>
      <c r="AP41" s="24" t="s">
        <v>156</v>
      </c>
      <c r="AQ41" s="24" t="s">
        <v>156</v>
      </c>
      <c r="BU41" s="24" t="s">
        <v>167</v>
      </c>
      <c r="BV41" s="24" t="s">
        <v>156</v>
      </c>
      <c r="BX41" s="24" t="s">
        <v>721</v>
      </c>
      <c r="BY41" s="24" t="s">
        <v>420</v>
      </c>
      <c r="BZ41" s="24" t="s">
        <v>722</v>
      </c>
      <c r="CA41" s="24" t="s">
        <v>338</v>
      </c>
      <c r="CB41" s="24" t="s">
        <v>267</v>
      </c>
      <c r="CC41" s="24" t="s">
        <v>150</v>
      </c>
      <c r="CD41" s="24" t="s">
        <v>322</v>
      </c>
      <c r="CE41" s="24" t="s">
        <v>152</v>
      </c>
      <c r="CF41" s="24" t="s">
        <v>243</v>
      </c>
      <c r="CG41" s="24">
        <v>3</v>
      </c>
      <c r="CH41" s="24" t="s">
        <v>286</v>
      </c>
      <c r="CI41" s="24" t="s">
        <v>206</v>
      </c>
      <c r="CJ41" s="24" t="s">
        <v>156</v>
      </c>
      <c r="CK41" s="24" t="s">
        <v>362</v>
      </c>
      <c r="CL41" s="24">
        <v>2</v>
      </c>
      <c r="CM41" s="24">
        <v>2</v>
      </c>
      <c r="CN41" s="24">
        <v>2</v>
      </c>
      <c r="CO41" s="24">
        <v>3</v>
      </c>
      <c r="CP41" s="24">
        <v>2</v>
      </c>
      <c r="CQ41" s="24">
        <v>2</v>
      </c>
      <c r="CR41" s="24">
        <v>2</v>
      </c>
      <c r="CS41" s="24">
        <v>2</v>
      </c>
      <c r="CT41" s="24">
        <v>2</v>
      </c>
      <c r="CU41" s="24">
        <v>2</v>
      </c>
      <c r="CV41" s="24">
        <v>2</v>
      </c>
      <c r="CW41" s="24">
        <v>2</v>
      </c>
      <c r="CX41" s="24">
        <v>2</v>
      </c>
      <c r="CY41" s="24">
        <v>2</v>
      </c>
      <c r="CZ41" s="24">
        <v>2</v>
      </c>
      <c r="DA41" s="24">
        <v>2</v>
      </c>
      <c r="DB41" s="24" t="s">
        <v>413</v>
      </c>
      <c r="DC41" s="24">
        <v>3</v>
      </c>
      <c r="DD41" s="24" t="s">
        <v>672</v>
      </c>
      <c r="DE41" s="24" t="s">
        <v>156</v>
      </c>
      <c r="DJ41" s="24" t="s">
        <v>188</v>
      </c>
      <c r="DK41" s="24" t="s">
        <v>156</v>
      </c>
    </row>
    <row r="42" spans="1:115" ht="22.5" customHeight="1" x14ac:dyDescent="0.2">
      <c r="A42" s="23">
        <v>46062.82425755787</v>
      </c>
      <c r="B42" s="24" t="s">
        <v>723</v>
      </c>
      <c r="C42" s="24">
        <v>0</v>
      </c>
      <c r="D42" s="24" t="s">
        <v>724</v>
      </c>
      <c r="E42" s="24" t="s">
        <v>725</v>
      </c>
      <c r="F42" s="24" t="s">
        <v>163</v>
      </c>
      <c r="G42" s="24">
        <v>61</v>
      </c>
      <c r="H42" s="25" t="s">
        <v>726</v>
      </c>
      <c r="I42" s="24" t="s">
        <v>194</v>
      </c>
      <c r="J42" s="24" t="s">
        <v>133</v>
      </c>
      <c r="K42" s="24" t="s">
        <v>135</v>
      </c>
      <c r="M42" s="24" t="s">
        <v>136</v>
      </c>
      <c r="N42" s="24" t="s">
        <v>198</v>
      </c>
      <c r="O42" s="24" t="s">
        <v>199</v>
      </c>
      <c r="P42" s="24" t="s">
        <v>136</v>
      </c>
      <c r="Q42" s="24" t="s">
        <v>502</v>
      </c>
      <c r="R42" s="24" t="s">
        <v>199</v>
      </c>
      <c r="S42" s="24" t="s">
        <v>277</v>
      </c>
      <c r="T42" s="24" t="s">
        <v>136</v>
      </c>
      <c r="U42" s="24" t="s">
        <v>356</v>
      </c>
      <c r="V42" s="24" t="s">
        <v>199</v>
      </c>
      <c r="AI42" s="24" t="s">
        <v>727</v>
      </c>
      <c r="AJ42" s="24" t="s">
        <v>136</v>
      </c>
      <c r="AK42" s="24" t="s">
        <v>156</v>
      </c>
      <c r="AL42" s="24" t="s">
        <v>136</v>
      </c>
      <c r="AM42" s="24" t="s">
        <v>136</v>
      </c>
      <c r="AN42" s="24" t="s">
        <v>156</v>
      </c>
      <c r="AO42" s="24" t="s">
        <v>156</v>
      </c>
      <c r="AP42" s="24" t="s">
        <v>156</v>
      </c>
      <c r="AQ42" s="24" t="s">
        <v>156</v>
      </c>
      <c r="AR42" s="24" t="s">
        <v>728</v>
      </c>
      <c r="AS42" s="24" t="s">
        <v>156</v>
      </c>
      <c r="AU42" s="24" t="s">
        <v>728</v>
      </c>
      <c r="AV42" s="24" t="s">
        <v>404</v>
      </c>
      <c r="AW42" s="24" t="s">
        <v>447</v>
      </c>
      <c r="AX42" s="24" t="s">
        <v>729</v>
      </c>
      <c r="CB42" s="24" t="s">
        <v>149</v>
      </c>
      <c r="CC42" s="24" t="s">
        <v>150</v>
      </c>
      <c r="CD42" s="24" t="s">
        <v>151</v>
      </c>
      <c r="CE42" s="24" t="s">
        <v>152</v>
      </c>
      <c r="CF42" s="24">
        <v>3</v>
      </c>
      <c r="CG42" s="24">
        <v>4</v>
      </c>
      <c r="CH42" s="24" t="s">
        <v>154</v>
      </c>
      <c r="CI42" s="24" t="s">
        <v>437</v>
      </c>
      <c r="CJ42" s="24" t="s">
        <v>136</v>
      </c>
      <c r="CK42" s="24" t="s">
        <v>512</v>
      </c>
      <c r="CL42" s="24">
        <v>3</v>
      </c>
      <c r="CM42" s="24">
        <v>4</v>
      </c>
      <c r="CN42" s="24">
        <v>3</v>
      </c>
      <c r="CO42" s="24">
        <v>4</v>
      </c>
      <c r="CP42" s="24">
        <v>5</v>
      </c>
      <c r="CQ42" s="24">
        <v>4</v>
      </c>
      <c r="CR42" s="24">
        <v>3</v>
      </c>
      <c r="CS42" s="24">
        <v>4</v>
      </c>
      <c r="CT42" s="24">
        <v>4</v>
      </c>
      <c r="CU42" s="24">
        <v>4</v>
      </c>
      <c r="CV42" s="24">
        <v>4</v>
      </c>
      <c r="CW42" s="24">
        <v>4</v>
      </c>
      <c r="CX42" s="24">
        <v>4</v>
      </c>
      <c r="CY42" s="24">
        <v>4</v>
      </c>
      <c r="CZ42" s="24">
        <v>4</v>
      </c>
      <c r="DA42" s="24">
        <v>4</v>
      </c>
      <c r="DB42" s="24" t="s">
        <v>280</v>
      </c>
      <c r="DC42" s="24">
        <v>3</v>
      </c>
      <c r="DD42" s="24" t="s">
        <v>325</v>
      </c>
      <c r="DE42" s="24" t="s">
        <v>136</v>
      </c>
      <c r="DF42" s="24">
        <v>4</v>
      </c>
      <c r="DG42" s="24">
        <v>3</v>
      </c>
      <c r="DH42" s="24">
        <v>3</v>
      </c>
      <c r="DI42" s="24" t="s">
        <v>158</v>
      </c>
      <c r="DJ42" s="24" t="s">
        <v>262</v>
      </c>
      <c r="DK42" s="24" t="s">
        <v>730</v>
      </c>
    </row>
    <row r="43" spans="1:115" ht="22.5" customHeight="1" x14ac:dyDescent="0.2">
      <c r="A43" s="23">
        <v>46062.826801990741</v>
      </c>
      <c r="B43" s="24" t="s">
        <v>731</v>
      </c>
      <c r="C43" s="24">
        <v>0</v>
      </c>
      <c r="D43" s="24" t="s">
        <v>732</v>
      </c>
      <c r="E43" s="24" t="s">
        <v>733</v>
      </c>
      <c r="F43" s="24" t="s">
        <v>163</v>
      </c>
      <c r="G43" s="24">
        <v>60</v>
      </c>
      <c r="H43" s="25" t="s">
        <v>734</v>
      </c>
      <c r="I43" s="24" t="s">
        <v>194</v>
      </c>
      <c r="J43" s="24" t="s">
        <v>133</v>
      </c>
      <c r="K43" s="24" t="s">
        <v>345</v>
      </c>
      <c r="M43" s="24" t="s">
        <v>136</v>
      </c>
      <c r="N43" s="24" t="s">
        <v>240</v>
      </c>
      <c r="O43" s="24" t="s">
        <v>199</v>
      </c>
      <c r="P43" s="24" t="s">
        <v>136</v>
      </c>
      <c r="Q43" s="24" t="s">
        <v>502</v>
      </c>
      <c r="R43" s="24" t="s">
        <v>199</v>
      </c>
      <c r="S43" s="24" t="s">
        <v>266</v>
      </c>
      <c r="T43" s="24" t="s">
        <v>136</v>
      </c>
      <c r="U43" s="24" t="s">
        <v>241</v>
      </c>
      <c r="V43" s="24" t="s">
        <v>199</v>
      </c>
      <c r="AI43" s="24" t="s">
        <v>144</v>
      </c>
      <c r="AJ43" s="24" t="s">
        <v>136</v>
      </c>
      <c r="AK43" s="24" t="s">
        <v>136</v>
      </c>
      <c r="AL43" s="24" t="s">
        <v>156</v>
      </c>
      <c r="AM43" s="24" t="s">
        <v>156</v>
      </c>
      <c r="AN43" s="24" t="s">
        <v>156</v>
      </c>
      <c r="AO43" s="24" t="s">
        <v>156</v>
      </c>
      <c r="AP43" s="24" t="s">
        <v>136</v>
      </c>
      <c r="AQ43" s="24" t="s">
        <v>156</v>
      </c>
      <c r="BN43" s="24" t="s">
        <v>167</v>
      </c>
      <c r="BO43" s="24" t="s">
        <v>136</v>
      </c>
      <c r="BP43" s="24" t="s">
        <v>735</v>
      </c>
      <c r="BQ43" s="24" t="s">
        <v>137</v>
      </c>
      <c r="BR43" s="24" t="s">
        <v>146</v>
      </c>
      <c r="BS43" s="24" t="s">
        <v>388</v>
      </c>
      <c r="BT43" s="24" t="s">
        <v>227</v>
      </c>
      <c r="CB43" s="24" t="s">
        <v>267</v>
      </c>
      <c r="CC43" s="24" t="s">
        <v>150</v>
      </c>
      <c r="CD43" s="24" t="s">
        <v>322</v>
      </c>
      <c r="CE43" s="24" t="s">
        <v>204</v>
      </c>
      <c r="CF43" s="24" t="s">
        <v>153</v>
      </c>
      <c r="CG43" s="24">
        <v>4</v>
      </c>
      <c r="CH43" s="24" t="s">
        <v>154</v>
      </c>
      <c r="CI43" s="24" t="s">
        <v>352</v>
      </c>
      <c r="CJ43" s="24" t="s">
        <v>136</v>
      </c>
      <c r="CK43" s="24" t="s">
        <v>207</v>
      </c>
      <c r="CL43" s="24">
        <v>2</v>
      </c>
      <c r="CM43" s="24">
        <v>3</v>
      </c>
      <c r="CN43" s="24">
        <v>3</v>
      </c>
      <c r="CO43" s="24">
        <v>4</v>
      </c>
      <c r="CP43" s="24">
        <v>3</v>
      </c>
      <c r="CQ43" s="24">
        <v>4</v>
      </c>
      <c r="CR43" s="24">
        <v>3</v>
      </c>
      <c r="CS43" s="24">
        <v>3</v>
      </c>
      <c r="CT43" s="24">
        <v>2</v>
      </c>
      <c r="CU43" s="24">
        <v>1</v>
      </c>
      <c r="CV43" s="24">
        <v>3</v>
      </c>
      <c r="CW43" s="24">
        <v>4</v>
      </c>
      <c r="CX43" s="24">
        <v>4</v>
      </c>
      <c r="CY43" s="24">
        <v>4</v>
      </c>
      <c r="CZ43" s="24">
        <v>4</v>
      </c>
      <c r="DA43" s="24">
        <v>4</v>
      </c>
      <c r="DB43" s="24" t="s">
        <v>736</v>
      </c>
      <c r="DC43" s="24">
        <v>2</v>
      </c>
      <c r="DD43" s="24" t="s">
        <v>330</v>
      </c>
      <c r="DE43" s="24" t="s">
        <v>156</v>
      </c>
      <c r="DJ43" s="24" t="s">
        <v>737</v>
      </c>
      <c r="DK43" s="24" t="s">
        <v>738</v>
      </c>
    </row>
    <row r="44" spans="1:115" ht="22.5" customHeight="1" x14ac:dyDescent="0.2">
      <c r="A44" s="23">
        <v>46062.847190289351</v>
      </c>
      <c r="B44" s="24" t="s">
        <v>739</v>
      </c>
      <c r="C44" s="24">
        <v>0</v>
      </c>
      <c r="D44" s="24" t="s">
        <v>740</v>
      </c>
      <c r="E44" s="24" t="s">
        <v>741</v>
      </c>
      <c r="F44" s="24" t="s">
        <v>163</v>
      </c>
      <c r="G44" s="24">
        <v>61</v>
      </c>
      <c r="H44" s="25" t="s">
        <v>742</v>
      </c>
      <c r="I44" s="24" t="s">
        <v>194</v>
      </c>
      <c r="J44" s="24" t="s">
        <v>301</v>
      </c>
      <c r="K44" s="24" t="s">
        <v>135</v>
      </c>
      <c r="M44" s="24" t="s">
        <v>136</v>
      </c>
      <c r="N44" s="24" t="s">
        <v>240</v>
      </c>
      <c r="O44" s="24" t="s">
        <v>199</v>
      </c>
      <c r="P44" s="24" t="s">
        <v>156</v>
      </c>
      <c r="Q44" s="24" t="s">
        <v>215</v>
      </c>
      <c r="R44" s="24" t="s">
        <v>270</v>
      </c>
      <c r="S44" s="24" t="s">
        <v>255</v>
      </c>
      <c r="T44" s="24" t="s">
        <v>136</v>
      </c>
      <c r="U44" s="24" t="s">
        <v>356</v>
      </c>
      <c r="V44" s="24" t="s">
        <v>199</v>
      </c>
      <c r="AI44" s="24" t="s">
        <v>319</v>
      </c>
      <c r="AJ44" s="24" t="s">
        <v>156</v>
      </c>
      <c r="AK44" s="24" t="s">
        <v>156</v>
      </c>
      <c r="AL44" s="24" t="s">
        <v>136</v>
      </c>
      <c r="AM44" s="24" t="s">
        <v>136</v>
      </c>
      <c r="AN44" s="24" t="s">
        <v>156</v>
      </c>
      <c r="AO44" s="24" t="s">
        <v>156</v>
      </c>
      <c r="AP44" s="24" t="s">
        <v>156</v>
      </c>
      <c r="AQ44" s="24" t="s">
        <v>156</v>
      </c>
      <c r="AY44" s="24" t="s">
        <v>167</v>
      </c>
      <c r="AZ44" s="24" t="s">
        <v>136</v>
      </c>
      <c r="BA44" s="24" t="s">
        <v>743</v>
      </c>
      <c r="BC44" s="24" t="s">
        <v>320</v>
      </c>
      <c r="BD44" s="24" t="s">
        <v>372</v>
      </c>
      <c r="BE44" s="24" t="s">
        <v>373</v>
      </c>
      <c r="CB44" s="24" t="s">
        <v>149</v>
      </c>
      <c r="CC44" s="24" t="s">
        <v>150</v>
      </c>
      <c r="CD44" s="24" t="s">
        <v>151</v>
      </c>
      <c r="CE44" s="24" t="s">
        <v>152</v>
      </c>
      <c r="CF44" s="24" t="s">
        <v>243</v>
      </c>
      <c r="CG44" s="24">
        <v>4</v>
      </c>
      <c r="CH44" s="24" t="s">
        <v>205</v>
      </c>
      <c r="CI44" s="24" t="s">
        <v>374</v>
      </c>
      <c r="CJ44" s="24" t="s">
        <v>136</v>
      </c>
      <c r="CK44" s="24" t="s">
        <v>207</v>
      </c>
      <c r="CL44" s="24">
        <v>1</v>
      </c>
      <c r="CM44" s="24">
        <v>1</v>
      </c>
      <c r="CN44" s="24">
        <v>3</v>
      </c>
      <c r="CO44" s="24">
        <v>4</v>
      </c>
      <c r="CP44" s="24">
        <v>3</v>
      </c>
      <c r="CQ44" s="24">
        <v>1</v>
      </c>
      <c r="CR44" s="24">
        <v>3</v>
      </c>
      <c r="CS44" s="24">
        <v>4</v>
      </c>
      <c r="CT44" s="24">
        <v>1</v>
      </c>
      <c r="CU44" s="24">
        <v>3</v>
      </c>
      <c r="CV44" s="24">
        <v>4</v>
      </c>
      <c r="CW44" s="24">
        <v>1</v>
      </c>
      <c r="CX44" s="24">
        <v>4</v>
      </c>
      <c r="CY44" s="24">
        <v>4</v>
      </c>
      <c r="CZ44" s="24">
        <v>3</v>
      </c>
      <c r="DA44" s="24">
        <v>3</v>
      </c>
      <c r="DB44" s="24" t="s">
        <v>274</v>
      </c>
      <c r="DC44" s="24">
        <v>2</v>
      </c>
      <c r="DD44" s="24" t="s">
        <v>744</v>
      </c>
      <c r="DE44" s="24" t="s">
        <v>136</v>
      </c>
      <c r="DF44" s="24">
        <v>4</v>
      </c>
      <c r="DG44" s="24">
        <v>2</v>
      </c>
      <c r="DH44" s="24">
        <v>4</v>
      </c>
      <c r="DI44" s="24" t="s">
        <v>696</v>
      </c>
      <c r="DJ44" s="24" t="s">
        <v>159</v>
      </c>
      <c r="DK44" s="24" t="s">
        <v>745</v>
      </c>
    </row>
    <row r="45" spans="1:115" ht="22.5" customHeight="1" x14ac:dyDescent="0.2">
      <c r="A45" s="23">
        <v>46062.854903854168</v>
      </c>
      <c r="B45" s="24" t="s">
        <v>746</v>
      </c>
      <c r="C45" s="24">
        <v>0</v>
      </c>
      <c r="D45" s="24" t="s">
        <v>747</v>
      </c>
      <c r="E45" s="24" t="s">
        <v>748</v>
      </c>
      <c r="F45" s="24" t="s">
        <v>163</v>
      </c>
      <c r="G45" s="24">
        <v>62</v>
      </c>
      <c r="H45" s="25" t="s">
        <v>749</v>
      </c>
      <c r="I45" s="24" t="s">
        <v>132</v>
      </c>
      <c r="J45" s="24" t="s">
        <v>384</v>
      </c>
      <c r="K45" s="24" t="s">
        <v>135</v>
      </c>
      <c r="M45" s="24" t="s">
        <v>156</v>
      </c>
      <c r="N45" s="24" t="s">
        <v>215</v>
      </c>
      <c r="O45" s="24" t="s">
        <v>360</v>
      </c>
      <c r="P45" s="24" t="s">
        <v>136</v>
      </c>
      <c r="Q45" s="24" t="s">
        <v>254</v>
      </c>
      <c r="R45" s="24" t="s">
        <v>199</v>
      </c>
      <c r="S45" s="24" t="s">
        <v>266</v>
      </c>
      <c r="T45" s="24" t="s">
        <v>136</v>
      </c>
      <c r="U45" s="24" t="s">
        <v>241</v>
      </c>
      <c r="V45" s="24" t="s">
        <v>199</v>
      </c>
      <c r="AI45" s="24" t="s">
        <v>144</v>
      </c>
      <c r="AJ45" s="24" t="s">
        <v>136</v>
      </c>
      <c r="AK45" s="24" t="s">
        <v>136</v>
      </c>
      <c r="AL45" s="24" t="s">
        <v>136</v>
      </c>
      <c r="AM45" s="24" t="s">
        <v>136</v>
      </c>
      <c r="AN45" s="24" t="s">
        <v>136</v>
      </c>
      <c r="AO45" s="24" t="s">
        <v>136</v>
      </c>
      <c r="AP45" s="24" t="s">
        <v>136</v>
      </c>
      <c r="AQ45" s="24" t="s">
        <v>156</v>
      </c>
      <c r="BN45" s="24" t="s">
        <v>167</v>
      </c>
      <c r="BO45" s="24" t="s">
        <v>136</v>
      </c>
      <c r="BP45" s="24" t="s">
        <v>750</v>
      </c>
      <c r="BR45" s="24" t="s">
        <v>226</v>
      </c>
      <c r="BS45" s="24" t="s">
        <v>169</v>
      </c>
      <c r="BT45" s="24" t="s">
        <v>227</v>
      </c>
      <c r="CB45" s="24" t="s">
        <v>149</v>
      </c>
      <c r="CC45" s="24" t="s">
        <v>242</v>
      </c>
      <c r="CD45" s="24" t="s">
        <v>151</v>
      </c>
      <c r="CE45" s="24" t="s">
        <v>152</v>
      </c>
      <c r="CF45" s="24" t="s">
        <v>243</v>
      </c>
      <c r="CG45" s="24">
        <v>4</v>
      </c>
      <c r="CH45" s="24" t="s">
        <v>154</v>
      </c>
      <c r="CI45" s="24" t="s">
        <v>287</v>
      </c>
      <c r="CJ45" s="24" t="s">
        <v>136</v>
      </c>
      <c r="CK45" s="24" t="s">
        <v>400</v>
      </c>
      <c r="CL45" s="24">
        <v>2</v>
      </c>
      <c r="CM45" s="24">
        <v>2</v>
      </c>
      <c r="CN45" s="24">
        <v>2</v>
      </c>
      <c r="CO45" s="24">
        <v>4</v>
      </c>
      <c r="CP45" s="24">
        <v>3</v>
      </c>
      <c r="CQ45" s="24">
        <v>4</v>
      </c>
      <c r="CR45" s="24">
        <v>4</v>
      </c>
      <c r="CS45" s="24">
        <v>4</v>
      </c>
      <c r="CT45" s="24">
        <v>2</v>
      </c>
      <c r="CU45" s="24">
        <v>2</v>
      </c>
      <c r="CV45" s="24">
        <v>4</v>
      </c>
      <c r="CW45" s="24">
        <v>1</v>
      </c>
      <c r="CX45" s="24">
        <v>3</v>
      </c>
      <c r="CY45" s="24">
        <v>4</v>
      </c>
      <c r="CZ45" s="24">
        <v>2</v>
      </c>
      <c r="DA45" s="24">
        <v>2</v>
      </c>
      <c r="DB45" s="24" t="s">
        <v>310</v>
      </c>
      <c r="DC45" s="24">
        <v>1</v>
      </c>
      <c r="DD45" s="24" t="s">
        <v>643</v>
      </c>
      <c r="DE45" s="24" t="s">
        <v>156</v>
      </c>
      <c r="DJ45" s="24" t="s">
        <v>316</v>
      </c>
      <c r="DK45" s="24" t="s">
        <v>751</v>
      </c>
    </row>
    <row r="46" spans="1:115" ht="22.5" customHeight="1" x14ac:dyDescent="0.2">
      <c r="A46" s="23">
        <v>46062.864213217588</v>
      </c>
      <c r="B46" s="24" t="s">
        <v>752</v>
      </c>
      <c r="C46" s="24">
        <v>0</v>
      </c>
      <c r="D46" s="24" t="s">
        <v>753</v>
      </c>
      <c r="E46" s="24" t="s">
        <v>754</v>
      </c>
      <c r="F46" s="24" t="s">
        <v>128</v>
      </c>
      <c r="G46" s="24">
        <v>61</v>
      </c>
      <c r="H46" s="25" t="s">
        <v>755</v>
      </c>
      <c r="I46" s="24" t="s">
        <v>194</v>
      </c>
      <c r="J46" s="24" t="s">
        <v>133</v>
      </c>
      <c r="K46" s="24" t="s">
        <v>345</v>
      </c>
      <c r="M46" s="24" t="s">
        <v>136</v>
      </c>
      <c r="N46" s="24" t="s">
        <v>240</v>
      </c>
      <c r="O46" s="24" t="s">
        <v>199</v>
      </c>
      <c r="P46" s="24" t="s">
        <v>156</v>
      </c>
      <c r="Q46" s="24" t="s">
        <v>215</v>
      </c>
      <c r="R46" s="24" t="s">
        <v>318</v>
      </c>
      <c r="S46" s="24" t="s">
        <v>266</v>
      </c>
      <c r="T46" s="24" t="s">
        <v>136</v>
      </c>
      <c r="U46" s="24" t="s">
        <v>256</v>
      </c>
      <c r="V46" s="24" t="s">
        <v>199</v>
      </c>
      <c r="AI46" s="24" t="s">
        <v>144</v>
      </c>
      <c r="AJ46" s="24" t="s">
        <v>136</v>
      </c>
      <c r="AK46" s="24" t="s">
        <v>136</v>
      </c>
      <c r="AL46" s="24" t="s">
        <v>136</v>
      </c>
      <c r="AM46" s="24" t="s">
        <v>136</v>
      </c>
      <c r="AN46" s="24" t="s">
        <v>136</v>
      </c>
      <c r="AO46" s="24" t="s">
        <v>136</v>
      </c>
      <c r="AP46" s="24" t="s">
        <v>136</v>
      </c>
      <c r="AQ46" s="24" t="s">
        <v>136</v>
      </c>
      <c r="BN46" s="24" t="s">
        <v>167</v>
      </c>
      <c r="BO46" s="24" t="s">
        <v>136</v>
      </c>
      <c r="BR46" s="24" t="s">
        <v>168</v>
      </c>
      <c r="BS46" s="24" t="s">
        <v>169</v>
      </c>
      <c r="BT46" s="24" t="s">
        <v>340</v>
      </c>
      <c r="CB46" s="24" t="s">
        <v>149</v>
      </c>
      <c r="CC46" s="24" t="s">
        <v>150</v>
      </c>
      <c r="CD46" s="24" t="s">
        <v>322</v>
      </c>
      <c r="CE46" s="24" t="s">
        <v>204</v>
      </c>
      <c r="CF46" s="24" t="s">
        <v>243</v>
      </c>
      <c r="CG46" s="24">
        <v>4</v>
      </c>
      <c r="CH46" s="24" t="s">
        <v>244</v>
      </c>
      <c r="CI46" s="24" t="s">
        <v>341</v>
      </c>
      <c r="CJ46" s="24" t="s">
        <v>136</v>
      </c>
      <c r="CK46" s="24" t="s">
        <v>231</v>
      </c>
      <c r="CL46" s="24">
        <v>2</v>
      </c>
      <c r="CM46" s="24">
        <v>2</v>
      </c>
      <c r="CN46" s="24">
        <v>3</v>
      </c>
      <c r="CO46" s="24">
        <v>3</v>
      </c>
      <c r="CP46" s="24">
        <v>4</v>
      </c>
      <c r="CQ46" s="24">
        <v>2</v>
      </c>
      <c r="CR46" s="24">
        <v>3</v>
      </c>
      <c r="CS46" s="24">
        <v>3</v>
      </c>
      <c r="CT46" s="24">
        <v>3</v>
      </c>
      <c r="CU46" s="24">
        <v>3</v>
      </c>
      <c r="CV46" s="24">
        <v>3</v>
      </c>
      <c r="CW46" s="24">
        <v>3</v>
      </c>
      <c r="CX46" s="24">
        <v>3</v>
      </c>
      <c r="CY46" s="24">
        <v>3</v>
      </c>
      <c r="CZ46" s="24">
        <v>3</v>
      </c>
      <c r="DA46" s="24">
        <v>3</v>
      </c>
      <c r="DB46" s="24" t="s">
        <v>366</v>
      </c>
      <c r="DC46" s="24">
        <v>3</v>
      </c>
      <c r="DD46" s="24" t="s">
        <v>233</v>
      </c>
      <c r="DE46" s="24" t="s">
        <v>156</v>
      </c>
      <c r="DJ46" s="24" t="s">
        <v>262</v>
      </c>
      <c r="DK46" s="24" t="s">
        <v>137</v>
      </c>
    </row>
    <row r="47" spans="1:115" ht="22.5" customHeight="1" x14ac:dyDescent="0.2">
      <c r="A47" s="23">
        <v>46062.968603923611</v>
      </c>
      <c r="B47" s="24" t="s">
        <v>756</v>
      </c>
      <c r="C47" s="24">
        <v>0</v>
      </c>
      <c r="D47" s="24" t="s">
        <v>757</v>
      </c>
      <c r="E47" s="24" t="s">
        <v>758</v>
      </c>
      <c r="F47" s="24" t="s">
        <v>128</v>
      </c>
      <c r="G47" s="24">
        <v>60</v>
      </c>
      <c r="H47" s="25" t="s">
        <v>759</v>
      </c>
      <c r="I47" s="24" t="s">
        <v>194</v>
      </c>
      <c r="J47" s="24" t="s">
        <v>195</v>
      </c>
      <c r="K47" s="24" t="s">
        <v>135</v>
      </c>
      <c r="L47" s="24" t="s">
        <v>760</v>
      </c>
      <c r="M47" s="24" t="s">
        <v>136</v>
      </c>
      <c r="N47" s="24" t="s">
        <v>240</v>
      </c>
      <c r="O47" s="24" t="s">
        <v>199</v>
      </c>
      <c r="P47" s="24" t="s">
        <v>156</v>
      </c>
      <c r="Q47" s="24" t="s">
        <v>215</v>
      </c>
      <c r="R47" s="24" t="s">
        <v>270</v>
      </c>
      <c r="S47" s="24" t="s">
        <v>277</v>
      </c>
      <c r="T47" s="24" t="s">
        <v>156</v>
      </c>
      <c r="U47" s="24" t="s">
        <v>215</v>
      </c>
      <c r="V47" s="24" t="s">
        <v>486</v>
      </c>
      <c r="W47" s="24" t="s">
        <v>761</v>
      </c>
      <c r="X47" s="24" t="s">
        <v>762</v>
      </c>
      <c r="Y47" s="24" t="s">
        <v>763</v>
      </c>
      <c r="Z47" s="24" t="s">
        <v>156</v>
      </c>
      <c r="AA47" s="24" t="s">
        <v>136</v>
      </c>
      <c r="AB47" s="24" t="s">
        <v>156</v>
      </c>
      <c r="AC47" s="24" t="s">
        <v>136</v>
      </c>
      <c r="AD47" s="24" t="s">
        <v>156</v>
      </c>
      <c r="AE47" s="24" t="s">
        <v>156</v>
      </c>
      <c r="AF47" s="24" t="s">
        <v>136</v>
      </c>
      <c r="AG47" s="24" t="s">
        <v>136</v>
      </c>
      <c r="AH47" s="24" t="s">
        <v>764</v>
      </c>
      <c r="CJ47" s="24" t="s">
        <v>136</v>
      </c>
      <c r="CK47" s="24" t="s">
        <v>279</v>
      </c>
      <c r="CL47" s="24">
        <v>3</v>
      </c>
      <c r="CM47" s="24">
        <v>3</v>
      </c>
      <c r="CN47" s="24">
        <v>3</v>
      </c>
      <c r="CO47" s="24">
        <v>3</v>
      </c>
      <c r="CP47" s="24">
        <v>4</v>
      </c>
      <c r="CQ47" s="24">
        <v>3</v>
      </c>
      <c r="CR47" s="24">
        <v>3</v>
      </c>
      <c r="CS47" s="24">
        <v>4</v>
      </c>
      <c r="CT47" s="24">
        <v>3</v>
      </c>
      <c r="CU47" s="24">
        <v>3</v>
      </c>
      <c r="CV47" s="24">
        <v>4</v>
      </c>
      <c r="CW47" s="24">
        <v>4</v>
      </c>
      <c r="CX47" s="24">
        <v>4</v>
      </c>
      <c r="CY47" s="24">
        <v>4</v>
      </c>
      <c r="CZ47" s="24">
        <v>4</v>
      </c>
      <c r="DA47" s="24">
        <v>3</v>
      </c>
      <c r="DB47" s="24" t="s">
        <v>375</v>
      </c>
      <c r="DC47" s="24">
        <v>4</v>
      </c>
      <c r="DD47" s="24" t="s">
        <v>765</v>
      </c>
      <c r="DE47" s="24" t="s">
        <v>156</v>
      </c>
      <c r="DJ47" s="24" t="s">
        <v>159</v>
      </c>
      <c r="DK47" s="24" t="s">
        <v>137</v>
      </c>
    </row>
    <row r="48" spans="1:115" ht="22.5" customHeight="1" x14ac:dyDescent="0.2">
      <c r="A48" s="23">
        <v>46062.98279952546</v>
      </c>
      <c r="B48" s="24" t="s">
        <v>766</v>
      </c>
      <c r="C48" s="24">
        <v>0</v>
      </c>
      <c r="D48" s="24" t="s">
        <v>767</v>
      </c>
      <c r="E48" s="24" t="s">
        <v>768</v>
      </c>
      <c r="F48" s="24" t="s">
        <v>163</v>
      </c>
      <c r="G48" s="24">
        <v>62</v>
      </c>
      <c r="H48" s="25" t="s">
        <v>769</v>
      </c>
      <c r="I48" s="24" t="s">
        <v>275</v>
      </c>
      <c r="J48" s="24" t="s">
        <v>133</v>
      </c>
      <c r="K48" s="24" t="s">
        <v>135</v>
      </c>
      <c r="M48" s="24" t="s">
        <v>136</v>
      </c>
      <c r="N48" s="24" t="s">
        <v>276</v>
      </c>
      <c r="O48" s="24" t="s">
        <v>199</v>
      </c>
      <c r="P48" s="24" t="s">
        <v>136</v>
      </c>
      <c r="Q48" s="24" t="s">
        <v>502</v>
      </c>
      <c r="R48" s="24" t="s">
        <v>199</v>
      </c>
      <c r="S48" s="24" t="s">
        <v>277</v>
      </c>
      <c r="T48" s="24" t="s">
        <v>136</v>
      </c>
      <c r="U48" s="24" t="s">
        <v>256</v>
      </c>
      <c r="V48" s="24" t="s">
        <v>199</v>
      </c>
      <c r="AI48" s="24" t="s">
        <v>304</v>
      </c>
      <c r="AJ48" s="24" t="s">
        <v>136</v>
      </c>
      <c r="AK48" s="24" t="s">
        <v>156</v>
      </c>
      <c r="AL48" s="24" t="s">
        <v>136</v>
      </c>
      <c r="AM48" s="24" t="s">
        <v>136</v>
      </c>
      <c r="AN48" s="24" t="s">
        <v>136</v>
      </c>
      <c r="AO48" s="24" t="s">
        <v>136</v>
      </c>
      <c r="AP48" s="24" t="s">
        <v>156</v>
      </c>
      <c r="AQ48" s="24" t="s">
        <v>136</v>
      </c>
      <c r="BU48" s="24" t="s">
        <v>167</v>
      </c>
      <c r="BV48" s="24" t="s">
        <v>156</v>
      </c>
      <c r="BX48" s="24" t="s">
        <v>770</v>
      </c>
      <c r="BY48" s="24" t="s">
        <v>306</v>
      </c>
      <c r="BZ48" s="24" t="s">
        <v>307</v>
      </c>
      <c r="CA48" s="24" t="s">
        <v>338</v>
      </c>
      <c r="CB48" s="24" t="s">
        <v>267</v>
      </c>
      <c r="CC48" s="24" t="s">
        <v>150</v>
      </c>
      <c r="CD48" s="24" t="s">
        <v>151</v>
      </c>
      <c r="CE48" s="24" t="s">
        <v>152</v>
      </c>
      <c r="CF48" s="24" t="s">
        <v>153</v>
      </c>
      <c r="CG48" s="24">
        <v>4</v>
      </c>
      <c r="CH48" s="24" t="s">
        <v>286</v>
      </c>
      <c r="CI48" s="24" t="s">
        <v>206</v>
      </c>
      <c r="CJ48" s="24" t="s">
        <v>156</v>
      </c>
      <c r="CK48" s="24" t="s">
        <v>231</v>
      </c>
      <c r="CL48" s="24">
        <v>1</v>
      </c>
      <c r="CM48" s="24">
        <v>1</v>
      </c>
      <c r="CN48" s="24">
        <v>1</v>
      </c>
      <c r="CO48" s="24">
        <v>3</v>
      </c>
      <c r="CP48" s="24">
        <v>1</v>
      </c>
      <c r="CQ48" s="24">
        <v>1</v>
      </c>
      <c r="CR48" s="24">
        <v>1</v>
      </c>
      <c r="CS48" s="24">
        <v>1</v>
      </c>
      <c r="CT48" s="24">
        <v>1</v>
      </c>
      <c r="CU48" s="24">
        <v>1</v>
      </c>
      <c r="CV48" s="24">
        <v>1</v>
      </c>
      <c r="CW48" s="24">
        <v>1</v>
      </c>
      <c r="CX48" s="24">
        <v>1</v>
      </c>
      <c r="CY48" s="24">
        <v>1</v>
      </c>
      <c r="CZ48" s="24">
        <v>1</v>
      </c>
      <c r="DA48" s="24">
        <v>1</v>
      </c>
      <c r="DB48" s="24" t="s">
        <v>366</v>
      </c>
      <c r="DC48" s="24">
        <v>4</v>
      </c>
      <c r="DD48" s="24" t="s">
        <v>289</v>
      </c>
      <c r="DE48" s="24" t="s">
        <v>156</v>
      </c>
      <c r="DJ48" s="24" t="s">
        <v>210</v>
      </c>
      <c r="DK48" s="24" t="s">
        <v>771</v>
      </c>
    </row>
    <row r="49" spans="1:115" ht="22.5" customHeight="1" x14ac:dyDescent="0.2">
      <c r="A49" s="23">
        <v>46063.028242604167</v>
      </c>
      <c r="B49" s="24" t="s">
        <v>772</v>
      </c>
      <c r="C49" s="24">
        <v>0</v>
      </c>
      <c r="D49" s="24" t="s">
        <v>773</v>
      </c>
      <c r="E49" s="24" t="s">
        <v>774</v>
      </c>
      <c r="F49" s="24" t="s">
        <v>163</v>
      </c>
      <c r="G49" s="24">
        <v>61</v>
      </c>
      <c r="H49" s="25" t="s">
        <v>775</v>
      </c>
      <c r="I49" s="24" t="s">
        <v>194</v>
      </c>
      <c r="J49" s="24" t="s">
        <v>292</v>
      </c>
      <c r="K49" s="24" t="s">
        <v>135</v>
      </c>
      <c r="M49" s="24" t="s">
        <v>156</v>
      </c>
      <c r="N49" s="24" t="s">
        <v>215</v>
      </c>
      <c r="O49" s="24" t="s">
        <v>355</v>
      </c>
      <c r="P49" s="24" t="s">
        <v>136</v>
      </c>
      <c r="Q49" s="24" t="s">
        <v>200</v>
      </c>
      <c r="R49" s="24" t="s">
        <v>199</v>
      </c>
      <c r="S49" s="24" t="s">
        <v>218</v>
      </c>
      <c r="T49" s="24" t="s">
        <v>136</v>
      </c>
      <c r="U49" s="24" t="s">
        <v>256</v>
      </c>
      <c r="V49" s="24" t="s">
        <v>199</v>
      </c>
      <c r="AI49" s="24" t="s">
        <v>776</v>
      </c>
      <c r="AJ49" s="24" t="s">
        <v>156</v>
      </c>
      <c r="AK49" s="24" t="s">
        <v>136</v>
      </c>
      <c r="AL49" s="24" t="s">
        <v>156</v>
      </c>
      <c r="AM49" s="24" t="s">
        <v>156</v>
      </c>
      <c r="AN49" s="24" t="s">
        <v>156</v>
      </c>
      <c r="AO49" s="24" t="s">
        <v>156</v>
      </c>
      <c r="AP49" s="24" t="s">
        <v>136</v>
      </c>
      <c r="AQ49" s="24" t="s">
        <v>136</v>
      </c>
      <c r="AR49" s="24" t="s">
        <v>167</v>
      </c>
      <c r="AS49" s="24" t="s">
        <v>136</v>
      </c>
      <c r="AU49" s="24" t="s">
        <v>777</v>
      </c>
      <c r="AV49" s="24" t="s">
        <v>671</v>
      </c>
      <c r="AW49" s="24" t="s">
        <v>778</v>
      </c>
      <c r="AX49" s="24" t="s">
        <v>779</v>
      </c>
      <c r="CB49" s="24" t="s">
        <v>149</v>
      </c>
      <c r="CC49" s="24" t="s">
        <v>242</v>
      </c>
      <c r="CD49" s="24" t="s">
        <v>229</v>
      </c>
      <c r="CE49" s="24" t="s">
        <v>152</v>
      </c>
      <c r="CF49" s="24">
        <v>3</v>
      </c>
      <c r="CG49" s="24">
        <v>3</v>
      </c>
      <c r="CH49" s="24" t="s">
        <v>286</v>
      </c>
      <c r="CI49" s="24" t="s">
        <v>392</v>
      </c>
      <c r="CJ49" s="24" t="s">
        <v>156</v>
      </c>
      <c r="CK49" s="24" t="s">
        <v>231</v>
      </c>
      <c r="CL49" s="24">
        <v>2</v>
      </c>
      <c r="CM49" s="24">
        <v>2</v>
      </c>
      <c r="CN49" s="24">
        <v>2</v>
      </c>
      <c r="CO49" s="24">
        <v>3</v>
      </c>
      <c r="CP49" s="24">
        <v>3</v>
      </c>
      <c r="CQ49" s="24">
        <v>2</v>
      </c>
      <c r="CR49" s="24">
        <v>2</v>
      </c>
      <c r="CS49" s="24">
        <v>2</v>
      </c>
      <c r="CT49" s="24">
        <v>2</v>
      </c>
      <c r="CU49" s="24">
        <v>2</v>
      </c>
      <c r="CV49" s="24">
        <v>2</v>
      </c>
      <c r="CW49" s="24">
        <v>2</v>
      </c>
      <c r="CX49" s="24">
        <v>2</v>
      </c>
      <c r="CY49" s="24">
        <v>2</v>
      </c>
      <c r="CZ49" s="24">
        <v>2</v>
      </c>
      <c r="DA49" s="24">
        <v>2</v>
      </c>
      <c r="DB49" s="24" t="s">
        <v>366</v>
      </c>
      <c r="DC49" s="24">
        <v>4</v>
      </c>
      <c r="DD49" s="24" t="s">
        <v>380</v>
      </c>
      <c r="DE49" s="24" t="s">
        <v>156</v>
      </c>
      <c r="DJ49" s="24" t="s">
        <v>780</v>
      </c>
      <c r="DK49" s="24" t="s">
        <v>781</v>
      </c>
    </row>
    <row r="50" spans="1:115" ht="22.5" customHeight="1" x14ac:dyDescent="0.2">
      <c r="A50" s="23">
        <v>46063.182351550931</v>
      </c>
      <c r="B50" s="24" t="s">
        <v>782</v>
      </c>
      <c r="C50" s="24">
        <v>0</v>
      </c>
      <c r="D50" s="24" t="s">
        <v>783</v>
      </c>
      <c r="E50" s="24" t="s">
        <v>784</v>
      </c>
      <c r="F50" s="24" t="s">
        <v>128</v>
      </c>
      <c r="G50" s="24">
        <v>61</v>
      </c>
      <c r="H50" s="25" t="s">
        <v>785</v>
      </c>
      <c r="I50" s="24" t="s">
        <v>194</v>
      </c>
      <c r="J50" s="24" t="s">
        <v>301</v>
      </c>
      <c r="K50" s="24" t="s">
        <v>135</v>
      </c>
      <c r="M50" s="24" t="s">
        <v>136</v>
      </c>
      <c r="N50" s="24" t="s">
        <v>240</v>
      </c>
      <c r="O50" s="24" t="s">
        <v>199</v>
      </c>
      <c r="P50" s="24" t="s">
        <v>156</v>
      </c>
      <c r="Q50" s="24" t="s">
        <v>215</v>
      </c>
      <c r="R50" s="24" t="s">
        <v>270</v>
      </c>
      <c r="S50" s="24" t="s">
        <v>266</v>
      </c>
      <c r="T50" s="24" t="s">
        <v>136</v>
      </c>
      <c r="U50" s="24" t="s">
        <v>202</v>
      </c>
      <c r="V50" s="24" t="s">
        <v>199</v>
      </c>
      <c r="AI50" s="24" t="s">
        <v>304</v>
      </c>
      <c r="AJ50" s="24" t="s">
        <v>136</v>
      </c>
      <c r="AK50" s="24" t="s">
        <v>156</v>
      </c>
      <c r="AL50" s="24" t="s">
        <v>136</v>
      </c>
      <c r="AM50" s="24" t="s">
        <v>156</v>
      </c>
      <c r="AN50" s="24" t="s">
        <v>136</v>
      </c>
      <c r="AO50" s="24" t="s">
        <v>136</v>
      </c>
      <c r="AP50" s="24" t="s">
        <v>136</v>
      </c>
      <c r="AQ50" s="24" t="s">
        <v>136</v>
      </c>
      <c r="BU50" s="24" t="s">
        <v>305</v>
      </c>
      <c r="BV50" s="24" t="s">
        <v>136</v>
      </c>
      <c r="BW50" s="24" t="s">
        <v>786</v>
      </c>
      <c r="BY50" s="24" t="s">
        <v>376</v>
      </c>
      <c r="BZ50" s="24" t="s">
        <v>307</v>
      </c>
      <c r="CA50" s="24" t="s">
        <v>377</v>
      </c>
      <c r="CB50" s="24" t="s">
        <v>149</v>
      </c>
      <c r="CC50" s="24" t="s">
        <v>150</v>
      </c>
      <c r="CD50" s="24" t="s">
        <v>229</v>
      </c>
      <c r="CE50" s="24" t="s">
        <v>204</v>
      </c>
      <c r="CF50" s="24" t="s">
        <v>243</v>
      </c>
      <c r="CG50" s="24">
        <v>4</v>
      </c>
      <c r="CH50" s="24" t="s">
        <v>286</v>
      </c>
      <c r="CI50" s="24" t="s">
        <v>155</v>
      </c>
      <c r="CJ50" s="24" t="s">
        <v>156</v>
      </c>
      <c r="CK50" s="24" t="s">
        <v>787</v>
      </c>
      <c r="CL50" s="24">
        <v>3</v>
      </c>
      <c r="CM50" s="24">
        <v>2</v>
      </c>
      <c r="CN50" s="24">
        <v>3</v>
      </c>
      <c r="CO50" s="24">
        <v>3</v>
      </c>
      <c r="CP50" s="24">
        <v>4</v>
      </c>
      <c r="CQ50" s="24">
        <v>2</v>
      </c>
      <c r="CR50" s="24">
        <v>3</v>
      </c>
      <c r="CS50" s="24">
        <v>4</v>
      </c>
      <c r="CT50" s="24">
        <v>3</v>
      </c>
      <c r="CU50" s="24">
        <v>3</v>
      </c>
      <c r="CV50" s="24">
        <v>4</v>
      </c>
      <c r="CW50" s="24">
        <v>3</v>
      </c>
      <c r="CX50" s="24">
        <v>3</v>
      </c>
      <c r="CY50" s="24">
        <v>4</v>
      </c>
      <c r="CZ50" s="24">
        <v>3</v>
      </c>
      <c r="DA50" s="24">
        <v>3</v>
      </c>
      <c r="DB50" s="24" t="s">
        <v>375</v>
      </c>
      <c r="DC50" s="24">
        <v>4</v>
      </c>
      <c r="DD50" s="24" t="s">
        <v>788</v>
      </c>
      <c r="DE50" s="24" t="s">
        <v>136</v>
      </c>
      <c r="DF50" s="24">
        <v>3</v>
      </c>
      <c r="DG50" s="24">
        <v>3</v>
      </c>
      <c r="DH50" s="24">
        <v>3</v>
      </c>
      <c r="DI50" s="24" t="s">
        <v>789</v>
      </c>
      <c r="DJ50" s="24" t="s">
        <v>603</v>
      </c>
      <c r="DK50" s="24" t="s">
        <v>137</v>
      </c>
    </row>
    <row r="51" spans="1:115" ht="22.5" customHeight="1" x14ac:dyDescent="0.2">
      <c r="A51" s="23">
        <v>46063.398687048611</v>
      </c>
      <c r="B51" s="24" t="s">
        <v>790</v>
      </c>
      <c r="C51" s="24">
        <v>0</v>
      </c>
      <c r="D51" s="24" t="s">
        <v>791</v>
      </c>
      <c r="E51" s="24" t="s">
        <v>792</v>
      </c>
      <c r="F51" s="24" t="s">
        <v>128</v>
      </c>
      <c r="G51" s="24">
        <v>60</v>
      </c>
      <c r="H51" s="25" t="s">
        <v>793</v>
      </c>
      <c r="I51" s="24" t="s">
        <v>194</v>
      </c>
      <c r="J51" s="24" t="s">
        <v>133</v>
      </c>
      <c r="K51" s="24" t="s">
        <v>135</v>
      </c>
      <c r="M51" s="24" t="s">
        <v>136</v>
      </c>
      <c r="N51" s="24" t="s">
        <v>198</v>
      </c>
      <c r="O51" s="24" t="s">
        <v>199</v>
      </c>
      <c r="P51" s="24" t="s">
        <v>156</v>
      </c>
      <c r="Q51" s="24" t="s">
        <v>215</v>
      </c>
      <c r="R51" s="24" t="s">
        <v>270</v>
      </c>
      <c r="S51" s="24" t="s">
        <v>266</v>
      </c>
      <c r="T51" s="24" t="s">
        <v>136</v>
      </c>
      <c r="U51" s="24" t="s">
        <v>241</v>
      </c>
      <c r="V51" s="24" t="s">
        <v>199</v>
      </c>
      <c r="AI51" s="24" t="s">
        <v>219</v>
      </c>
      <c r="AJ51" s="24" t="s">
        <v>136</v>
      </c>
      <c r="AK51" s="24" t="s">
        <v>156</v>
      </c>
      <c r="AL51" s="24" t="s">
        <v>136</v>
      </c>
      <c r="AM51" s="24" t="s">
        <v>136</v>
      </c>
      <c r="AN51" s="24" t="s">
        <v>156</v>
      </c>
      <c r="AO51" s="24" t="s">
        <v>156</v>
      </c>
      <c r="AP51" s="24" t="s">
        <v>156</v>
      </c>
      <c r="AQ51" s="24" t="s">
        <v>136</v>
      </c>
      <c r="BF51" s="24" t="s">
        <v>305</v>
      </c>
      <c r="BG51" s="24" t="s">
        <v>136</v>
      </c>
      <c r="BJ51" s="24" t="s">
        <v>156</v>
      </c>
      <c r="BK51" s="24" t="s">
        <v>396</v>
      </c>
      <c r="BL51" s="24" t="s">
        <v>386</v>
      </c>
      <c r="BM51" s="24" t="s">
        <v>223</v>
      </c>
      <c r="BN51" s="24" t="s">
        <v>794</v>
      </c>
      <c r="BO51" s="24" t="s">
        <v>156</v>
      </c>
      <c r="BR51" s="24" t="s">
        <v>226</v>
      </c>
      <c r="BS51" s="24" t="s">
        <v>794</v>
      </c>
      <c r="BT51" s="24" t="s">
        <v>794</v>
      </c>
      <c r="CB51" s="24" t="s">
        <v>267</v>
      </c>
      <c r="CC51" s="24" t="s">
        <v>150</v>
      </c>
      <c r="CD51" s="24" t="s">
        <v>171</v>
      </c>
      <c r="CE51" s="24" t="s">
        <v>204</v>
      </c>
      <c r="CF51" s="24" t="s">
        <v>153</v>
      </c>
      <c r="CG51" s="24">
        <v>4</v>
      </c>
      <c r="CH51" s="24" t="s">
        <v>286</v>
      </c>
      <c r="CI51" s="24" t="s">
        <v>423</v>
      </c>
      <c r="CJ51" s="24" t="s">
        <v>136</v>
      </c>
      <c r="CK51" s="24" t="s">
        <v>207</v>
      </c>
      <c r="CL51" s="24">
        <v>3</v>
      </c>
      <c r="CM51" s="24">
        <v>3</v>
      </c>
      <c r="CN51" s="24">
        <v>3</v>
      </c>
      <c r="CO51" s="24">
        <v>3</v>
      </c>
      <c r="CP51" s="24">
        <v>3</v>
      </c>
      <c r="CQ51" s="24">
        <v>3</v>
      </c>
      <c r="CR51" s="24">
        <v>3</v>
      </c>
      <c r="CS51" s="24">
        <v>3</v>
      </c>
      <c r="CT51" s="24">
        <v>3</v>
      </c>
      <c r="CU51" s="24">
        <v>3</v>
      </c>
      <c r="CV51" s="24">
        <v>3</v>
      </c>
      <c r="CW51" s="24">
        <v>3</v>
      </c>
      <c r="CX51" s="24">
        <v>3</v>
      </c>
      <c r="CY51" s="24">
        <v>3</v>
      </c>
      <c r="CZ51" s="24">
        <v>3</v>
      </c>
      <c r="DA51" s="24">
        <v>3</v>
      </c>
      <c r="DB51" s="24" t="s">
        <v>247</v>
      </c>
      <c r="DC51" s="24">
        <v>3</v>
      </c>
      <c r="DD51" s="24" t="s">
        <v>424</v>
      </c>
      <c r="DE51" s="24" t="s">
        <v>156</v>
      </c>
      <c r="DJ51" s="24" t="s">
        <v>159</v>
      </c>
      <c r="DK51" s="24" t="s">
        <v>795</v>
      </c>
    </row>
    <row r="52" spans="1:115" ht="22.5" customHeight="1" x14ac:dyDescent="0.2">
      <c r="A52" s="23">
        <v>46063.571854085647</v>
      </c>
      <c r="B52" s="24" t="s">
        <v>796</v>
      </c>
      <c r="C52" s="24">
        <v>0</v>
      </c>
      <c r="D52" s="24" t="s">
        <v>797</v>
      </c>
      <c r="E52" s="24" t="s">
        <v>798</v>
      </c>
      <c r="F52" s="24" t="s">
        <v>163</v>
      </c>
      <c r="G52" s="24">
        <v>61</v>
      </c>
      <c r="H52" s="25" t="s">
        <v>799</v>
      </c>
      <c r="I52" s="24" t="s">
        <v>194</v>
      </c>
      <c r="J52" s="24" t="s">
        <v>301</v>
      </c>
      <c r="K52" s="24" t="s">
        <v>135</v>
      </c>
      <c r="M52" s="24" t="s">
        <v>136</v>
      </c>
      <c r="N52" s="24" t="s">
        <v>198</v>
      </c>
      <c r="O52" s="24" t="s">
        <v>199</v>
      </c>
      <c r="P52" s="24" t="s">
        <v>136</v>
      </c>
      <c r="Q52" s="24" t="s">
        <v>200</v>
      </c>
      <c r="R52" s="24" t="s">
        <v>199</v>
      </c>
      <c r="S52" s="24" t="s">
        <v>277</v>
      </c>
      <c r="T52" s="24" t="s">
        <v>136</v>
      </c>
      <c r="U52" s="24" t="s">
        <v>241</v>
      </c>
      <c r="V52" s="24" t="s">
        <v>199</v>
      </c>
      <c r="AI52" s="24" t="s">
        <v>144</v>
      </c>
      <c r="AJ52" s="24" t="s">
        <v>136</v>
      </c>
      <c r="AK52" s="24" t="s">
        <v>156</v>
      </c>
      <c r="AL52" s="24" t="s">
        <v>156</v>
      </c>
      <c r="AM52" s="24" t="s">
        <v>136</v>
      </c>
      <c r="AN52" s="24" t="s">
        <v>156</v>
      </c>
      <c r="AO52" s="24" t="s">
        <v>156</v>
      </c>
      <c r="AP52" s="24" t="s">
        <v>156</v>
      </c>
      <c r="AQ52" s="24" t="s">
        <v>156</v>
      </c>
      <c r="BN52" s="24" t="s">
        <v>305</v>
      </c>
      <c r="BO52" s="24" t="s">
        <v>156</v>
      </c>
      <c r="BQ52" s="24" t="s">
        <v>678</v>
      </c>
      <c r="BR52" s="24" t="s">
        <v>168</v>
      </c>
      <c r="BS52" s="24" t="s">
        <v>388</v>
      </c>
      <c r="BT52" s="24" t="s">
        <v>170</v>
      </c>
      <c r="CB52" s="24" t="s">
        <v>149</v>
      </c>
      <c r="CC52" s="24" t="s">
        <v>150</v>
      </c>
      <c r="CD52" s="24" t="s">
        <v>322</v>
      </c>
      <c r="CE52" s="24" t="s">
        <v>204</v>
      </c>
      <c r="CF52" s="24" t="s">
        <v>153</v>
      </c>
      <c r="CG52" s="24">
        <v>2</v>
      </c>
      <c r="CH52" s="24" t="s">
        <v>205</v>
      </c>
      <c r="CI52" s="24" t="s">
        <v>412</v>
      </c>
      <c r="CJ52" s="24" t="s">
        <v>156</v>
      </c>
      <c r="CK52" s="24" t="s">
        <v>207</v>
      </c>
      <c r="CL52" s="24">
        <v>2</v>
      </c>
      <c r="CM52" s="24">
        <v>2</v>
      </c>
      <c r="CN52" s="24">
        <v>3</v>
      </c>
      <c r="CO52" s="24">
        <v>3</v>
      </c>
      <c r="CP52" s="24">
        <v>2</v>
      </c>
      <c r="CQ52" s="24">
        <v>2</v>
      </c>
      <c r="CR52" s="24">
        <v>3</v>
      </c>
      <c r="CS52" s="24">
        <v>3</v>
      </c>
      <c r="CT52" s="24">
        <v>2</v>
      </c>
      <c r="CU52" s="24">
        <v>3</v>
      </c>
      <c r="CV52" s="24">
        <v>3</v>
      </c>
      <c r="CW52" s="24">
        <v>3</v>
      </c>
      <c r="CX52" s="24">
        <v>3</v>
      </c>
      <c r="CY52" s="24">
        <v>3</v>
      </c>
      <c r="CZ52" s="24">
        <v>2</v>
      </c>
      <c r="DA52" s="24">
        <v>2</v>
      </c>
      <c r="DB52" s="24" t="s">
        <v>800</v>
      </c>
      <c r="DC52" s="24">
        <v>4</v>
      </c>
      <c r="DD52" s="24" t="s">
        <v>624</v>
      </c>
      <c r="DE52" s="24" t="s">
        <v>156</v>
      </c>
      <c r="DJ52" s="24" t="s">
        <v>210</v>
      </c>
      <c r="DK52" s="24" t="s">
        <v>137</v>
      </c>
    </row>
    <row r="53" spans="1:115" ht="22.5" customHeight="1" x14ac:dyDescent="0.2">
      <c r="A53" s="23">
        <v>46063.836974618054</v>
      </c>
      <c r="B53" s="24" t="s">
        <v>801</v>
      </c>
      <c r="C53" s="24">
        <v>0</v>
      </c>
      <c r="D53" s="24" t="s">
        <v>802</v>
      </c>
      <c r="E53" s="24" t="s">
        <v>803</v>
      </c>
      <c r="F53" s="24" t="s">
        <v>163</v>
      </c>
      <c r="G53" s="24">
        <v>62</v>
      </c>
      <c r="H53" s="25" t="s">
        <v>804</v>
      </c>
      <c r="I53" s="24" t="s">
        <v>194</v>
      </c>
      <c r="J53" s="24" t="s">
        <v>344</v>
      </c>
      <c r="K53" s="24" t="s">
        <v>135</v>
      </c>
      <c r="M53" s="24" t="s">
        <v>136</v>
      </c>
      <c r="N53" s="24" t="s">
        <v>198</v>
      </c>
      <c r="O53" s="24" t="s">
        <v>199</v>
      </c>
      <c r="P53" s="24" t="s">
        <v>136</v>
      </c>
      <c r="Q53" s="24" t="s">
        <v>502</v>
      </c>
      <c r="R53" s="24" t="s">
        <v>199</v>
      </c>
      <c r="S53" s="24" t="s">
        <v>266</v>
      </c>
      <c r="T53" s="24" t="s">
        <v>136</v>
      </c>
      <c r="U53" s="24" t="s">
        <v>202</v>
      </c>
      <c r="V53" s="24" t="s">
        <v>199</v>
      </c>
      <c r="AI53" s="24" t="s">
        <v>144</v>
      </c>
      <c r="AJ53" s="24" t="s">
        <v>136</v>
      </c>
      <c r="AK53" s="24" t="s">
        <v>136</v>
      </c>
      <c r="AL53" s="24" t="s">
        <v>136</v>
      </c>
      <c r="AM53" s="24" t="s">
        <v>136</v>
      </c>
      <c r="AN53" s="24" t="s">
        <v>136</v>
      </c>
      <c r="AO53" s="24" t="s">
        <v>136</v>
      </c>
      <c r="AP53" s="24" t="s">
        <v>136</v>
      </c>
      <c r="AQ53" s="24" t="s">
        <v>156</v>
      </c>
      <c r="BN53" s="24" t="s">
        <v>167</v>
      </c>
      <c r="BO53" s="24" t="s">
        <v>136</v>
      </c>
      <c r="BP53" s="24" t="s">
        <v>805</v>
      </c>
      <c r="BR53" s="24" t="s">
        <v>436</v>
      </c>
      <c r="BS53" s="24" t="s">
        <v>147</v>
      </c>
      <c r="BT53" s="24" t="s">
        <v>227</v>
      </c>
      <c r="CB53" s="24" t="s">
        <v>267</v>
      </c>
      <c r="CC53" s="24" t="s">
        <v>351</v>
      </c>
      <c r="CD53" s="24" t="s">
        <v>229</v>
      </c>
      <c r="CE53" s="24" t="s">
        <v>152</v>
      </c>
      <c r="CF53" s="24" t="s">
        <v>243</v>
      </c>
      <c r="CG53" s="24">
        <v>4</v>
      </c>
      <c r="CH53" s="24" t="s">
        <v>286</v>
      </c>
      <c r="CI53" s="24" t="s">
        <v>352</v>
      </c>
      <c r="CJ53" s="24" t="s">
        <v>136</v>
      </c>
      <c r="CK53" s="24" t="s">
        <v>279</v>
      </c>
      <c r="CL53" s="24">
        <v>2</v>
      </c>
      <c r="CM53" s="24">
        <v>2</v>
      </c>
      <c r="CN53" s="24">
        <v>4</v>
      </c>
      <c r="CO53" s="24">
        <v>4</v>
      </c>
      <c r="CP53" s="24">
        <v>5</v>
      </c>
      <c r="CQ53" s="24">
        <v>2</v>
      </c>
      <c r="CR53" s="24">
        <v>4</v>
      </c>
      <c r="CS53" s="24">
        <v>4</v>
      </c>
      <c r="CT53" s="24">
        <v>2</v>
      </c>
      <c r="CU53" s="24">
        <v>4</v>
      </c>
      <c r="CV53" s="24">
        <v>4</v>
      </c>
      <c r="CW53" s="24">
        <v>2</v>
      </c>
      <c r="CX53" s="24">
        <v>4</v>
      </c>
      <c r="CY53" s="24">
        <v>2</v>
      </c>
      <c r="CZ53" s="24">
        <v>4</v>
      </c>
      <c r="DA53" s="24">
        <v>2</v>
      </c>
      <c r="DB53" s="24" t="s">
        <v>806</v>
      </c>
      <c r="DC53" s="24">
        <v>2</v>
      </c>
      <c r="DD53" s="24" t="s">
        <v>807</v>
      </c>
      <c r="DE53" s="24" t="s">
        <v>156</v>
      </c>
      <c r="DJ53" s="24" t="s">
        <v>210</v>
      </c>
      <c r="DK53" s="24" t="s">
        <v>808</v>
      </c>
    </row>
    <row r="54" spans="1:115" ht="22.5" customHeight="1" x14ac:dyDescent="0.2">
      <c r="A54" s="23">
        <v>46064.204578344907</v>
      </c>
      <c r="B54" s="24" t="s">
        <v>809</v>
      </c>
      <c r="C54" s="24">
        <v>0</v>
      </c>
      <c r="D54" s="24" t="s">
        <v>810</v>
      </c>
      <c r="E54" s="24" t="s">
        <v>811</v>
      </c>
      <c r="F54" s="24" t="s">
        <v>163</v>
      </c>
      <c r="G54" s="24">
        <v>61</v>
      </c>
      <c r="H54" s="25" t="s">
        <v>812</v>
      </c>
      <c r="I54" s="24" t="s">
        <v>194</v>
      </c>
      <c r="J54" s="24" t="s">
        <v>133</v>
      </c>
      <c r="K54" s="24" t="s">
        <v>135</v>
      </c>
      <c r="M54" s="24" t="s">
        <v>156</v>
      </c>
      <c r="N54" s="24" t="s">
        <v>215</v>
      </c>
      <c r="O54" s="24" t="s">
        <v>216</v>
      </c>
      <c r="P54" s="24" t="s">
        <v>136</v>
      </c>
      <c r="Q54" s="24" t="s">
        <v>254</v>
      </c>
      <c r="R54" s="24" t="s">
        <v>199</v>
      </c>
      <c r="S54" s="24" t="s">
        <v>277</v>
      </c>
      <c r="T54" s="24" t="s">
        <v>136</v>
      </c>
      <c r="U54" s="24" t="s">
        <v>256</v>
      </c>
      <c r="V54" s="24" t="s">
        <v>199</v>
      </c>
      <c r="AI54" s="24" t="s">
        <v>304</v>
      </c>
      <c r="AJ54" s="24" t="s">
        <v>156</v>
      </c>
      <c r="AK54" s="24" t="s">
        <v>156</v>
      </c>
      <c r="AL54" s="24" t="s">
        <v>136</v>
      </c>
      <c r="AM54" s="24" t="s">
        <v>136</v>
      </c>
      <c r="AN54" s="24" t="s">
        <v>136</v>
      </c>
      <c r="AO54" s="24" t="s">
        <v>136</v>
      </c>
      <c r="AP54" s="24" t="s">
        <v>136</v>
      </c>
      <c r="AQ54" s="24" t="s">
        <v>136</v>
      </c>
      <c r="BU54" s="24" t="s">
        <v>167</v>
      </c>
      <c r="BV54" s="24" t="s">
        <v>156</v>
      </c>
      <c r="BW54" s="24" t="s">
        <v>156</v>
      </c>
      <c r="BX54" s="24" t="s">
        <v>813</v>
      </c>
      <c r="BY54" s="24" t="s">
        <v>420</v>
      </c>
      <c r="BZ54" s="24" t="s">
        <v>337</v>
      </c>
      <c r="CA54" s="24" t="s">
        <v>428</v>
      </c>
      <c r="CB54" s="24" t="s">
        <v>267</v>
      </c>
      <c r="CC54" s="24" t="s">
        <v>351</v>
      </c>
      <c r="CD54" s="24" t="s">
        <v>171</v>
      </c>
      <c r="CE54" s="24" t="s">
        <v>204</v>
      </c>
      <c r="CF54" s="24" t="s">
        <v>153</v>
      </c>
      <c r="CG54" s="24">
        <v>4</v>
      </c>
      <c r="CH54" s="24" t="s">
        <v>205</v>
      </c>
      <c r="CI54" s="24" t="s">
        <v>412</v>
      </c>
      <c r="CJ54" s="24" t="s">
        <v>136</v>
      </c>
      <c r="CK54" s="24" t="s">
        <v>231</v>
      </c>
      <c r="CL54" s="24">
        <v>2</v>
      </c>
      <c r="CM54" s="24">
        <v>2</v>
      </c>
      <c r="CN54" s="24">
        <v>4</v>
      </c>
      <c r="CO54" s="24">
        <v>4</v>
      </c>
      <c r="CP54" s="24">
        <v>4</v>
      </c>
      <c r="CQ54" s="24">
        <v>1</v>
      </c>
      <c r="CR54" s="24">
        <v>2</v>
      </c>
      <c r="CS54" s="24">
        <v>4</v>
      </c>
      <c r="CT54" s="24">
        <v>3</v>
      </c>
      <c r="CU54" s="24">
        <v>3</v>
      </c>
      <c r="CV54" s="24">
        <v>3</v>
      </c>
      <c r="CW54" s="24">
        <v>1</v>
      </c>
      <c r="CX54" s="24">
        <v>3</v>
      </c>
      <c r="CY54" s="24">
        <v>3</v>
      </c>
      <c r="CZ54" s="24">
        <v>1</v>
      </c>
      <c r="DA54" s="24">
        <v>1</v>
      </c>
      <c r="DB54" s="24" t="s">
        <v>375</v>
      </c>
      <c r="DC54" s="24">
        <v>4</v>
      </c>
      <c r="DD54" s="24" t="s">
        <v>814</v>
      </c>
      <c r="DE54" s="24" t="s">
        <v>156</v>
      </c>
      <c r="DJ54" s="24" t="s">
        <v>159</v>
      </c>
      <c r="DK54" s="24" t="s">
        <v>745</v>
      </c>
    </row>
    <row r="55" spans="1:115" ht="22.5" customHeight="1" x14ac:dyDescent="0.2">
      <c r="A55" s="23">
        <v>46064.313232488421</v>
      </c>
      <c r="B55" s="24" t="s">
        <v>815</v>
      </c>
      <c r="C55" s="24">
        <v>0</v>
      </c>
      <c r="D55" s="24" t="s">
        <v>816</v>
      </c>
      <c r="E55" s="24" t="s">
        <v>817</v>
      </c>
      <c r="F55" s="24" t="s">
        <v>163</v>
      </c>
      <c r="G55" s="24">
        <v>60</v>
      </c>
      <c r="H55" s="25" t="s">
        <v>818</v>
      </c>
      <c r="I55" s="24" t="s">
        <v>194</v>
      </c>
      <c r="J55" s="24" t="s">
        <v>344</v>
      </c>
      <c r="K55" s="24" t="s">
        <v>135</v>
      </c>
      <c r="M55" s="24" t="s">
        <v>136</v>
      </c>
      <c r="N55" s="24" t="s">
        <v>240</v>
      </c>
      <c r="O55" s="24" t="s">
        <v>199</v>
      </c>
      <c r="P55" s="24" t="s">
        <v>136</v>
      </c>
      <c r="Q55" s="24" t="s">
        <v>502</v>
      </c>
      <c r="R55" s="24" t="s">
        <v>199</v>
      </c>
      <c r="S55" s="24" t="s">
        <v>255</v>
      </c>
      <c r="T55" s="24" t="s">
        <v>156</v>
      </c>
      <c r="U55" s="24" t="s">
        <v>215</v>
      </c>
      <c r="V55" s="24" t="s">
        <v>426</v>
      </c>
      <c r="W55" s="24" t="s">
        <v>459</v>
      </c>
      <c r="X55" s="24" t="s">
        <v>819</v>
      </c>
      <c r="Y55" s="24" t="s">
        <v>763</v>
      </c>
      <c r="Z55" s="24" t="s">
        <v>136</v>
      </c>
      <c r="AA55" s="24" t="s">
        <v>156</v>
      </c>
      <c r="AB55" s="24" t="s">
        <v>136</v>
      </c>
      <c r="AC55" s="24" t="s">
        <v>156</v>
      </c>
      <c r="AD55" s="24" t="s">
        <v>136</v>
      </c>
      <c r="AE55" s="24" t="s">
        <v>156</v>
      </c>
      <c r="AF55" s="24" t="s">
        <v>136</v>
      </c>
      <c r="AG55" s="24" t="s">
        <v>136</v>
      </c>
      <c r="AH55" s="24" t="s">
        <v>219</v>
      </c>
      <c r="CJ55" s="24" t="s">
        <v>136</v>
      </c>
      <c r="CK55" s="24" t="s">
        <v>207</v>
      </c>
      <c r="CL55" s="24">
        <v>4</v>
      </c>
      <c r="CM55" s="24">
        <v>4</v>
      </c>
      <c r="CN55" s="24">
        <v>4</v>
      </c>
      <c r="CO55" s="24">
        <v>4</v>
      </c>
      <c r="CP55" s="24">
        <v>5</v>
      </c>
      <c r="CQ55" s="24">
        <v>4</v>
      </c>
      <c r="CR55" s="24">
        <v>4</v>
      </c>
      <c r="CS55" s="24">
        <v>4</v>
      </c>
      <c r="CT55" s="24">
        <v>4</v>
      </c>
      <c r="CU55" s="24">
        <v>4</v>
      </c>
      <c r="CV55" s="24">
        <v>4</v>
      </c>
      <c r="CW55" s="24">
        <v>4</v>
      </c>
      <c r="CX55" s="24">
        <v>4</v>
      </c>
      <c r="CY55" s="24">
        <v>4</v>
      </c>
      <c r="CZ55" s="24">
        <v>4</v>
      </c>
      <c r="DA55" s="24">
        <v>4</v>
      </c>
      <c r="DB55" s="24" t="s">
        <v>247</v>
      </c>
      <c r="DC55" s="24">
        <v>4</v>
      </c>
      <c r="DD55" s="24" t="s">
        <v>363</v>
      </c>
      <c r="DE55" s="24" t="s">
        <v>156</v>
      </c>
      <c r="DJ55" s="24" t="s">
        <v>210</v>
      </c>
      <c r="DK55" s="24" t="s">
        <v>820</v>
      </c>
    </row>
    <row r="56" spans="1:115" ht="22.5" customHeight="1" x14ac:dyDescent="0.2">
      <c r="A56" s="23">
        <v>46064.368029467594</v>
      </c>
      <c r="B56" s="24" t="s">
        <v>821</v>
      </c>
      <c r="C56" s="24">
        <v>0</v>
      </c>
      <c r="D56" s="24" t="s">
        <v>822</v>
      </c>
      <c r="E56" s="24" t="s">
        <v>823</v>
      </c>
      <c r="F56" s="24" t="s">
        <v>163</v>
      </c>
      <c r="G56" s="24">
        <v>62</v>
      </c>
      <c r="H56" s="25" t="s">
        <v>824</v>
      </c>
      <c r="I56" s="24" t="s">
        <v>275</v>
      </c>
      <c r="J56" s="24" t="s">
        <v>344</v>
      </c>
      <c r="K56" s="24" t="s">
        <v>135</v>
      </c>
      <c r="M56" s="24" t="s">
        <v>156</v>
      </c>
      <c r="N56" s="24" t="s">
        <v>215</v>
      </c>
      <c r="O56" s="24" t="s">
        <v>355</v>
      </c>
      <c r="P56" s="24" t="s">
        <v>156</v>
      </c>
      <c r="Q56" s="24" t="s">
        <v>215</v>
      </c>
      <c r="R56" s="24" t="s">
        <v>382</v>
      </c>
      <c r="S56" s="24" t="s">
        <v>218</v>
      </c>
      <c r="T56" s="24" t="s">
        <v>136</v>
      </c>
      <c r="U56" s="24" t="s">
        <v>256</v>
      </c>
      <c r="V56" s="24" t="s">
        <v>199</v>
      </c>
      <c r="AI56" s="24" t="s">
        <v>203</v>
      </c>
      <c r="AJ56" s="24" t="s">
        <v>156</v>
      </c>
      <c r="AK56" s="24" t="s">
        <v>136</v>
      </c>
      <c r="AL56" s="24" t="s">
        <v>136</v>
      </c>
      <c r="AM56" s="24" t="s">
        <v>156</v>
      </c>
      <c r="AN56" s="24" t="s">
        <v>156</v>
      </c>
      <c r="AO56" s="24" t="s">
        <v>136</v>
      </c>
      <c r="AP56" s="24" t="s">
        <v>136</v>
      </c>
      <c r="AQ56" s="24" t="s">
        <v>156</v>
      </c>
      <c r="CB56" s="24" t="s">
        <v>149</v>
      </c>
      <c r="CC56" s="24" t="s">
        <v>150</v>
      </c>
      <c r="CD56" s="24" t="s">
        <v>151</v>
      </c>
      <c r="CE56" s="24" t="s">
        <v>204</v>
      </c>
      <c r="CF56" s="24" t="s">
        <v>273</v>
      </c>
      <c r="CG56" s="24">
        <v>4</v>
      </c>
      <c r="CH56" s="24" t="s">
        <v>154</v>
      </c>
      <c r="CI56" s="24" t="s">
        <v>357</v>
      </c>
      <c r="CJ56" s="24" t="s">
        <v>136</v>
      </c>
      <c r="CK56" s="24" t="s">
        <v>279</v>
      </c>
      <c r="CL56" s="24">
        <v>2</v>
      </c>
      <c r="CM56" s="24">
        <v>2</v>
      </c>
      <c r="CN56" s="24">
        <v>3</v>
      </c>
      <c r="CO56" s="24">
        <v>3</v>
      </c>
      <c r="CP56" s="24">
        <v>4</v>
      </c>
      <c r="CQ56" s="24">
        <v>2</v>
      </c>
      <c r="CR56" s="24">
        <v>3</v>
      </c>
      <c r="CS56" s="24">
        <v>3</v>
      </c>
      <c r="CT56" s="24">
        <v>2</v>
      </c>
      <c r="CU56" s="24">
        <v>3</v>
      </c>
      <c r="CV56" s="24">
        <v>3</v>
      </c>
      <c r="CW56" s="24">
        <v>2</v>
      </c>
      <c r="CX56" s="24">
        <v>3</v>
      </c>
      <c r="CY56" s="24">
        <v>3</v>
      </c>
      <c r="CZ56" s="24">
        <v>2</v>
      </c>
      <c r="DA56" s="24">
        <v>2</v>
      </c>
      <c r="DB56" s="24" t="s">
        <v>247</v>
      </c>
      <c r="DC56" s="24">
        <v>3</v>
      </c>
      <c r="DD56" s="24" t="s">
        <v>281</v>
      </c>
      <c r="DE56" s="24" t="s">
        <v>156</v>
      </c>
      <c r="DJ56" s="24" t="s">
        <v>745</v>
      </c>
      <c r="DK56" s="24" t="s">
        <v>745</v>
      </c>
    </row>
    <row r="57" spans="1:115" ht="22.5" customHeight="1" x14ac:dyDescent="0.2">
      <c r="A57" s="23">
        <v>46064.371612557872</v>
      </c>
      <c r="B57" s="24" t="s">
        <v>825</v>
      </c>
      <c r="C57" s="24">
        <v>0</v>
      </c>
      <c r="D57" s="24" t="s">
        <v>826</v>
      </c>
      <c r="E57" s="24" t="s">
        <v>827</v>
      </c>
      <c r="F57" s="24" t="s">
        <v>128</v>
      </c>
      <c r="G57" s="24">
        <v>61</v>
      </c>
      <c r="H57" s="25" t="s">
        <v>828</v>
      </c>
      <c r="I57" s="24" t="s">
        <v>194</v>
      </c>
      <c r="J57" s="24" t="s">
        <v>133</v>
      </c>
      <c r="K57" s="24" t="s">
        <v>135</v>
      </c>
      <c r="M57" s="24" t="s">
        <v>136</v>
      </c>
      <c r="N57" s="24" t="s">
        <v>198</v>
      </c>
      <c r="O57" s="24" t="s">
        <v>199</v>
      </c>
      <c r="P57" s="24" t="s">
        <v>156</v>
      </c>
      <c r="Q57" s="24" t="s">
        <v>215</v>
      </c>
      <c r="R57" s="24" t="s">
        <v>270</v>
      </c>
      <c r="S57" s="24" t="s">
        <v>277</v>
      </c>
      <c r="T57" s="24" t="s">
        <v>136</v>
      </c>
      <c r="U57" s="24" t="s">
        <v>202</v>
      </c>
      <c r="V57" s="24" t="s">
        <v>199</v>
      </c>
      <c r="AI57" s="24" t="s">
        <v>144</v>
      </c>
      <c r="AJ57" s="24" t="s">
        <v>136</v>
      </c>
      <c r="AK57" s="24" t="s">
        <v>136</v>
      </c>
      <c r="AL57" s="24" t="s">
        <v>136</v>
      </c>
      <c r="AM57" s="24" t="s">
        <v>136</v>
      </c>
      <c r="AN57" s="24" t="s">
        <v>136</v>
      </c>
      <c r="AO57" s="24" t="s">
        <v>136</v>
      </c>
      <c r="AP57" s="24" t="s">
        <v>156</v>
      </c>
      <c r="AQ57" s="24" t="s">
        <v>156</v>
      </c>
      <c r="BN57" s="24" t="s">
        <v>305</v>
      </c>
      <c r="BO57" s="24" t="s">
        <v>156</v>
      </c>
      <c r="BP57" s="24" t="s">
        <v>137</v>
      </c>
      <c r="BQ57" s="24" t="s">
        <v>829</v>
      </c>
      <c r="BR57" s="24" t="s">
        <v>327</v>
      </c>
      <c r="BS57" s="24" t="s">
        <v>169</v>
      </c>
      <c r="BT57" s="24" t="s">
        <v>170</v>
      </c>
      <c r="CB57" s="24" t="s">
        <v>149</v>
      </c>
      <c r="CC57" s="24" t="s">
        <v>351</v>
      </c>
      <c r="CD57" s="24" t="s">
        <v>322</v>
      </c>
      <c r="CE57" s="24" t="s">
        <v>204</v>
      </c>
      <c r="CF57" s="24" t="s">
        <v>153</v>
      </c>
      <c r="CG57" s="24">
        <v>4</v>
      </c>
      <c r="CH57" s="24" t="s">
        <v>205</v>
      </c>
      <c r="CI57" s="24" t="s">
        <v>278</v>
      </c>
      <c r="CJ57" s="24" t="s">
        <v>156</v>
      </c>
      <c r="CK57" s="24" t="s">
        <v>207</v>
      </c>
      <c r="CL57" s="24">
        <v>2</v>
      </c>
      <c r="CM57" s="24">
        <v>2</v>
      </c>
      <c r="CN57" s="24">
        <v>3</v>
      </c>
      <c r="CO57" s="24">
        <v>3</v>
      </c>
      <c r="CP57" s="24">
        <v>4</v>
      </c>
      <c r="CQ57" s="24">
        <v>2</v>
      </c>
      <c r="CR57" s="24">
        <v>3</v>
      </c>
      <c r="CS57" s="24">
        <v>4</v>
      </c>
      <c r="CT57" s="24">
        <v>3</v>
      </c>
      <c r="CU57" s="24">
        <v>3</v>
      </c>
      <c r="CV57" s="24">
        <v>3</v>
      </c>
      <c r="CW57" s="24">
        <v>2</v>
      </c>
      <c r="CX57" s="24">
        <v>3</v>
      </c>
      <c r="CY57" s="24">
        <v>4</v>
      </c>
      <c r="CZ57" s="24">
        <v>2</v>
      </c>
      <c r="DA57" s="24">
        <v>2</v>
      </c>
      <c r="DB57" s="24" t="s">
        <v>375</v>
      </c>
      <c r="DC57" s="24">
        <v>4</v>
      </c>
      <c r="DD57" s="24" t="s">
        <v>281</v>
      </c>
      <c r="DE57" s="24" t="s">
        <v>156</v>
      </c>
      <c r="DJ57" s="24" t="s">
        <v>390</v>
      </c>
      <c r="DK57" s="24" t="s">
        <v>137</v>
      </c>
    </row>
    <row r="58" spans="1:115" ht="22.5" customHeight="1" x14ac:dyDescent="0.2">
      <c r="A58" s="23">
        <v>46064.901966087964</v>
      </c>
      <c r="B58" s="24" t="s">
        <v>830</v>
      </c>
      <c r="C58" s="24">
        <v>0</v>
      </c>
      <c r="D58" s="24" t="s">
        <v>831</v>
      </c>
      <c r="E58" s="24" t="s">
        <v>832</v>
      </c>
      <c r="F58" s="24" t="s">
        <v>128</v>
      </c>
      <c r="G58" s="24">
        <v>61</v>
      </c>
      <c r="H58" s="25" t="s">
        <v>833</v>
      </c>
      <c r="I58" s="24" t="s">
        <v>194</v>
      </c>
      <c r="J58" s="24" t="s">
        <v>301</v>
      </c>
      <c r="K58" s="24" t="s">
        <v>345</v>
      </c>
      <c r="M58" s="24" t="s">
        <v>136</v>
      </c>
      <c r="N58" s="24" t="s">
        <v>240</v>
      </c>
      <c r="O58" s="24" t="s">
        <v>199</v>
      </c>
      <c r="P58" s="24" t="s">
        <v>156</v>
      </c>
      <c r="Q58" s="24" t="s">
        <v>215</v>
      </c>
      <c r="R58" s="24" t="s">
        <v>217</v>
      </c>
      <c r="S58" s="24" t="s">
        <v>255</v>
      </c>
      <c r="T58" s="24" t="s">
        <v>136</v>
      </c>
      <c r="U58" s="24" t="s">
        <v>202</v>
      </c>
      <c r="V58" s="24" t="s">
        <v>199</v>
      </c>
      <c r="AI58" s="24" t="s">
        <v>834</v>
      </c>
      <c r="AJ58" s="24" t="s">
        <v>136</v>
      </c>
      <c r="AK58" s="24" t="s">
        <v>136</v>
      </c>
      <c r="AL58" s="24" t="s">
        <v>136</v>
      </c>
      <c r="AM58" s="24" t="s">
        <v>156</v>
      </c>
      <c r="AN58" s="24" t="s">
        <v>136</v>
      </c>
      <c r="AO58" s="24" t="s">
        <v>136</v>
      </c>
      <c r="AP58" s="24" t="s">
        <v>136</v>
      </c>
      <c r="AQ58" s="24" t="s">
        <v>136</v>
      </c>
      <c r="AR58" s="24" t="s">
        <v>167</v>
      </c>
      <c r="AS58" s="24" t="s">
        <v>156</v>
      </c>
      <c r="AU58" s="24" t="s">
        <v>835</v>
      </c>
      <c r="AV58" s="24" t="s">
        <v>468</v>
      </c>
      <c r="AW58" s="24" t="s">
        <v>836</v>
      </c>
      <c r="AX58" s="24" t="s">
        <v>837</v>
      </c>
      <c r="CB58" s="24" t="s">
        <v>149</v>
      </c>
      <c r="CC58" s="24" t="s">
        <v>242</v>
      </c>
      <c r="CD58" s="24" t="s">
        <v>151</v>
      </c>
      <c r="CE58" s="24" t="s">
        <v>204</v>
      </c>
      <c r="CF58" s="24" t="s">
        <v>153</v>
      </c>
      <c r="CG58" s="24">
        <v>4</v>
      </c>
      <c r="CH58" s="24" t="s">
        <v>154</v>
      </c>
      <c r="CI58" s="24" t="s">
        <v>155</v>
      </c>
      <c r="CJ58" s="24" t="s">
        <v>136</v>
      </c>
      <c r="CK58" s="24" t="s">
        <v>231</v>
      </c>
      <c r="CL58" s="24">
        <v>3</v>
      </c>
      <c r="CM58" s="24">
        <v>3</v>
      </c>
      <c r="CN58" s="24">
        <v>3</v>
      </c>
      <c r="CO58" s="24">
        <v>3</v>
      </c>
      <c r="CP58" s="24">
        <v>4</v>
      </c>
      <c r="CQ58" s="24">
        <v>3</v>
      </c>
      <c r="CR58" s="24">
        <v>3</v>
      </c>
      <c r="CS58" s="24">
        <v>3</v>
      </c>
      <c r="CT58" s="24">
        <v>3</v>
      </c>
      <c r="CU58" s="24">
        <v>3</v>
      </c>
      <c r="CV58" s="24">
        <v>3</v>
      </c>
      <c r="CW58" s="24">
        <v>3</v>
      </c>
      <c r="CX58" s="24">
        <v>3</v>
      </c>
      <c r="CY58" s="24">
        <v>3</v>
      </c>
      <c r="CZ58" s="24">
        <v>3</v>
      </c>
      <c r="DA58" s="24">
        <v>3</v>
      </c>
      <c r="DB58" s="24" t="s">
        <v>260</v>
      </c>
      <c r="DC58" s="24">
        <v>3</v>
      </c>
      <c r="DD58" s="24" t="s">
        <v>838</v>
      </c>
      <c r="DE58" s="24" t="s">
        <v>156</v>
      </c>
      <c r="DJ58" s="24" t="s">
        <v>210</v>
      </c>
      <c r="DK58" s="24" t="s">
        <v>137</v>
      </c>
    </row>
    <row r="59" spans="1:115" ht="22.5" customHeight="1" x14ac:dyDescent="0.2">
      <c r="A59" s="23">
        <v>46065.401357210649</v>
      </c>
      <c r="B59" s="24" t="s">
        <v>839</v>
      </c>
      <c r="C59" s="24">
        <v>0</v>
      </c>
      <c r="D59" s="24" t="s">
        <v>840</v>
      </c>
      <c r="E59" s="24" t="s">
        <v>841</v>
      </c>
      <c r="F59" s="24" t="s">
        <v>128</v>
      </c>
      <c r="G59" s="24">
        <v>61</v>
      </c>
      <c r="H59" s="25" t="s">
        <v>842</v>
      </c>
      <c r="I59" s="24" t="s">
        <v>275</v>
      </c>
      <c r="J59" s="24" t="s">
        <v>133</v>
      </c>
      <c r="K59" s="24" t="s">
        <v>135</v>
      </c>
      <c r="M59" s="24" t="s">
        <v>136</v>
      </c>
      <c r="N59" s="24" t="s">
        <v>425</v>
      </c>
      <c r="O59" s="24" t="s">
        <v>199</v>
      </c>
      <c r="P59" s="24" t="s">
        <v>156</v>
      </c>
      <c r="Q59" s="24" t="s">
        <v>215</v>
      </c>
      <c r="R59" s="24" t="s">
        <v>199</v>
      </c>
      <c r="S59" s="24" t="s">
        <v>544</v>
      </c>
      <c r="T59" s="24" t="s">
        <v>136</v>
      </c>
      <c r="U59" s="24" t="s">
        <v>256</v>
      </c>
      <c r="V59" s="24" t="s">
        <v>199</v>
      </c>
      <c r="AI59" s="24" t="s">
        <v>843</v>
      </c>
      <c r="AJ59" s="24" t="s">
        <v>136</v>
      </c>
      <c r="AK59" s="24" t="s">
        <v>136</v>
      </c>
      <c r="AL59" s="24" t="s">
        <v>136</v>
      </c>
      <c r="AM59" s="24" t="s">
        <v>156</v>
      </c>
      <c r="AN59" s="24" t="s">
        <v>136</v>
      </c>
      <c r="AO59" s="24" t="s">
        <v>136</v>
      </c>
      <c r="AP59" s="24" t="s">
        <v>136</v>
      </c>
      <c r="AQ59" s="24" t="s">
        <v>156</v>
      </c>
      <c r="AR59" s="24" t="s">
        <v>844</v>
      </c>
      <c r="AS59" s="24" t="s">
        <v>156</v>
      </c>
      <c r="AT59" s="24" t="s">
        <v>137</v>
      </c>
      <c r="AU59" s="24" t="s">
        <v>845</v>
      </c>
      <c r="AV59" s="24" t="s">
        <v>671</v>
      </c>
      <c r="AW59" s="24" t="s">
        <v>778</v>
      </c>
      <c r="AX59" s="24" t="s">
        <v>729</v>
      </c>
      <c r="CB59" s="24" t="s">
        <v>149</v>
      </c>
      <c r="CC59" s="24" t="s">
        <v>150</v>
      </c>
      <c r="CD59" s="24" t="s">
        <v>171</v>
      </c>
      <c r="CE59" s="24" t="s">
        <v>204</v>
      </c>
      <c r="CF59" s="24" t="s">
        <v>243</v>
      </c>
      <c r="CG59" s="24">
        <v>4</v>
      </c>
      <c r="CH59" s="24" t="s">
        <v>286</v>
      </c>
      <c r="CI59" s="24" t="s">
        <v>437</v>
      </c>
      <c r="CJ59" s="24" t="s">
        <v>136</v>
      </c>
      <c r="CK59" s="24" t="s">
        <v>231</v>
      </c>
      <c r="CL59" s="24">
        <v>3</v>
      </c>
      <c r="CM59" s="24">
        <v>2</v>
      </c>
      <c r="CN59" s="24">
        <v>3</v>
      </c>
      <c r="CO59" s="24">
        <v>3</v>
      </c>
      <c r="CP59" s="24">
        <v>4</v>
      </c>
      <c r="CQ59" s="24">
        <v>2</v>
      </c>
      <c r="CR59" s="24">
        <v>3</v>
      </c>
      <c r="CS59" s="24">
        <v>4</v>
      </c>
      <c r="CT59" s="24">
        <v>2</v>
      </c>
      <c r="CU59" s="24">
        <v>3</v>
      </c>
      <c r="CV59" s="24">
        <v>3</v>
      </c>
      <c r="CW59" s="24">
        <v>3</v>
      </c>
      <c r="CX59" s="24">
        <v>2</v>
      </c>
      <c r="CY59" s="24">
        <v>3</v>
      </c>
      <c r="CZ59" s="24">
        <v>3</v>
      </c>
      <c r="DA59" s="24">
        <v>2</v>
      </c>
      <c r="DB59" s="24" t="s">
        <v>288</v>
      </c>
      <c r="DC59" s="24">
        <v>4</v>
      </c>
      <c r="DD59" s="24" t="s">
        <v>363</v>
      </c>
      <c r="DE59" s="24" t="s">
        <v>156</v>
      </c>
      <c r="DJ59" s="24" t="s">
        <v>262</v>
      </c>
      <c r="DK59" s="24" t="s">
        <v>846</v>
      </c>
    </row>
    <row r="60" spans="1:115" ht="22.5" customHeight="1" x14ac:dyDescent="0.2">
      <c r="A60" s="23">
        <v>46065.401723483796</v>
      </c>
      <c r="B60" s="24" t="s">
        <v>847</v>
      </c>
      <c r="C60" s="24">
        <v>0</v>
      </c>
      <c r="D60" s="24" t="s">
        <v>848</v>
      </c>
      <c r="E60" s="24" t="s">
        <v>849</v>
      </c>
      <c r="F60" s="24" t="s">
        <v>163</v>
      </c>
      <c r="G60" s="24">
        <v>61</v>
      </c>
      <c r="H60" s="25" t="s">
        <v>850</v>
      </c>
      <c r="I60" s="24" t="s">
        <v>194</v>
      </c>
      <c r="J60" s="24" t="s">
        <v>133</v>
      </c>
      <c r="K60" s="24" t="s">
        <v>135</v>
      </c>
      <c r="M60" s="24" t="s">
        <v>136</v>
      </c>
      <c r="N60" s="24" t="s">
        <v>264</v>
      </c>
      <c r="O60" s="24" t="s">
        <v>551</v>
      </c>
      <c r="P60" s="24" t="s">
        <v>136</v>
      </c>
      <c r="Q60" s="24" t="s">
        <v>303</v>
      </c>
      <c r="R60" s="24" t="s">
        <v>199</v>
      </c>
      <c r="S60" s="24" t="s">
        <v>313</v>
      </c>
      <c r="T60" s="24" t="s">
        <v>136</v>
      </c>
      <c r="U60" s="24" t="s">
        <v>356</v>
      </c>
      <c r="V60" s="24" t="s">
        <v>199</v>
      </c>
      <c r="AI60" s="24" t="s">
        <v>304</v>
      </c>
      <c r="AJ60" s="24" t="s">
        <v>136</v>
      </c>
      <c r="AK60" s="24" t="s">
        <v>136</v>
      </c>
      <c r="AL60" s="24" t="s">
        <v>136</v>
      </c>
      <c r="AM60" s="24" t="s">
        <v>156</v>
      </c>
      <c r="AN60" s="24" t="s">
        <v>136</v>
      </c>
      <c r="AO60" s="24" t="s">
        <v>136</v>
      </c>
      <c r="AP60" s="24" t="s">
        <v>136</v>
      </c>
      <c r="AQ60" s="24" t="s">
        <v>136</v>
      </c>
      <c r="BU60" s="24" t="s">
        <v>305</v>
      </c>
      <c r="BV60" s="24" t="s">
        <v>136</v>
      </c>
      <c r="BW60" s="24" t="s">
        <v>851</v>
      </c>
      <c r="BX60" s="24" t="s">
        <v>137</v>
      </c>
      <c r="BY60" s="24" t="s">
        <v>336</v>
      </c>
      <c r="BZ60" s="24" t="s">
        <v>722</v>
      </c>
      <c r="CA60" s="24" t="s">
        <v>338</v>
      </c>
      <c r="CB60" s="24" t="s">
        <v>267</v>
      </c>
      <c r="CC60" s="24" t="s">
        <v>150</v>
      </c>
      <c r="CD60" s="24" t="s">
        <v>171</v>
      </c>
      <c r="CE60" s="24" t="s">
        <v>152</v>
      </c>
      <c r="CF60" s="24" t="s">
        <v>243</v>
      </c>
      <c r="CG60" s="24">
        <v>4</v>
      </c>
      <c r="CH60" s="24" t="s">
        <v>244</v>
      </c>
      <c r="CI60" s="24" t="s">
        <v>357</v>
      </c>
      <c r="CJ60" s="24" t="s">
        <v>136</v>
      </c>
      <c r="CK60" s="24" t="s">
        <v>279</v>
      </c>
      <c r="CL60" s="24">
        <v>4</v>
      </c>
      <c r="CM60" s="24">
        <v>4</v>
      </c>
      <c r="CN60" s="24">
        <v>4</v>
      </c>
      <c r="CO60" s="24">
        <v>3</v>
      </c>
      <c r="CP60" s="24">
        <v>4</v>
      </c>
      <c r="CQ60" s="24">
        <v>3</v>
      </c>
      <c r="CR60" s="24">
        <v>3</v>
      </c>
      <c r="CS60" s="24">
        <v>3</v>
      </c>
      <c r="CT60" s="24">
        <v>2</v>
      </c>
      <c r="CU60" s="24">
        <v>3</v>
      </c>
      <c r="CV60" s="24">
        <v>4</v>
      </c>
      <c r="CW60" s="24">
        <v>4</v>
      </c>
      <c r="CX60" s="24">
        <v>4</v>
      </c>
      <c r="CY60" s="24">
        <v>4</v>
      </c>
      <c r="CZ60" s="24">
        <v>4</v>
      </c>
      <c r="DA60" s="24">
        <v>4</v>
      </c>
      <c r="DB60" s="24" t="s">
        <v>852</v>
      </c>
      <c r="DC60" s="24">
        <v>4</v>
      </c>
      <c r="DD60" s="24" t="s">
        <v>853</v>
      </c>
      <c r="DE60" s="24" t="s">
        <v>136</v>
      </c>
      <c r="DF60" s="24">
        <v>4</v>
      </c>
      <c r="DG60" s="24">
        <v>4</v>
      </c>
      <c r="DH60" s="24">
        <v>4</v>
      </c>
      <c r="DI60" s="24" t="s">
        <v>312</v>
      </c>
      <c r="DJ60" s="24" t="s">
        <v>290</v>
      </c>
      <c r="DK60" s="24" t="s">
        <v>137</v>
      </c>
    </row>
    <row r="61" spans="1:115" ht="22.5" customHeight="1" x14ac:dyDescent="0.2">
      <c r="A61" s="23">
        <v>46065.415586817129</v>
      </c>
      <c r="B61" s="24" t="s">
        <v>854</v>
      </c>
      <c r="C61" s="24">
        <v>0</v>
      </c>
      <c r="D61" s="24" t="s">
        <v>855</v>
      </c>
      <c r="E61" s="24" t="s">
        <v>856</v>
      </c>
      <c r="F61" s="24" t="s">
        <v>128</v>
      </c>
      <c r="G61" s="24">
        <v>61</v>
      </c>
      <c r="H61" s="25" t="s">
        <v>857</v>
      </c>
      <c r="I61" s="24" t="s">
        <v>194</v>
      </c>
      <c r="J61" s="24" t="s">
        <v>133</v>
      </c>
      <c r="K61" s="24" t="s">
        <v>135</v>
      </c>
      <c r="M61" s="24" t="s">
        <v>136</v>
      </c>
      <c r="N61" s="24" t="s">
        <v>264</v>
      </c>
      <c r="O61" s="24" t="s">
        <v>199</v>
      </c>
      <c r="P61" s="24" t="s">
        <v>156</v>
      </c>
      <c r="Q61" s="24" t="s">
        <v>215</v>
      </c>
      <c r="R61" s="24" t="s">
        <v>270</v>
      </c>
      <c r="S61" s="24" t="s">
        <v>266</v>
      </c>
      <c r="T61" s="24" t="s">
        <v>136</v>
      </c>
      <c r="U61" s="24" t="s">
        <v>256</v>
      </c>
      <c r="V61" s="24" t="s">
        <v>199</v>
      </c>
      <c r="AI61" s="24" t="s">
        <v>144</v>
      </c>
      <c r="AJ61" s="24" t="s">
        <v>136</v>
      </c>
      <c r="AK61" s="24" t="s">
        <v>136</v>
      </c>
      <c r="AL61" s="24" t="s">
        <v>156</v>
      </c>
      <c r="AM61" s="24" t="s">
        <v>136</v>
      </c>
      <c r="AN61" s="24" t="s">
        <v>156</v>
      </c>
      <c r="AO61" s="24" t="s">
        <v>156</v>
      </c>
      <c r="AP61" s="24" t="s">
        <v>136</v>
      </c>
      <c r="AQ61" s="24" t="s">
        <v>156</v>
      </c>
      <c r="BN61" s="24" t="s">
        <v>305</v>
      </c>
      <c r="BO61" s="24" t="s">
        <v>156</v>
      </c>
      <c r="BQ61" s="24" t="s">
        <v>858</v>
      </c>
      <c r="BR61" s="24" t="s">
        <v>146</v>
      </c>
      <c r="BS61" s="24" t="s">
        <v>169</v>
      </c>
      <c r="BT61" s="24" t="s">
        <v>170</v>
      </c>
      <c r="CB61" s="24" t="s">
        <v>267</v>
      </c>
      <c r="CC61" s="24" t="s">
        <v>150</v>
      </c>
      <c r="CD61" s="24" t="s">
        <v>171</v>
      </c>
      <c r="CE61" s="24" t="s">
        <v>152</v>
      </c>
      <c r="CF61" s="24" t="s">
        <v>153</v>
      </c>
      <c r="CG61" s="24">
        <v>4</v>
      </c>
      <c r="CH61" s="24" t="s">
        <v>154</v>
      </c>
      <c r="CI61" s="24" t="s">
        <v>357</v>
      </c>
      <c r="CJ61" s="24" t="s">
        <v>136</v>
      </c>
      <c r="CK61" s="24" t="s">
        <v>512</v>
      </c>
      <c r="CL61" s="24">
        <v>3</v>
      </c>
      <c r="CM61" s="24">
        <v>3</v>
      </c>
      <c r="CN61" s="24">
        <v>2</v>
      </c>
      <c r="CO61" s="24">
        <v>4</v>
      </c>
      <c r="CP61" s="24">
        <v>3</v>
      </c>
      <c r="CQ61" s="24">
        <v>4</v>
      </c>
      <c r="CR61" s="24">
        <v>4</v>
      </c>
      <c r="CS61" s="24">
        <v>4</v>
      </c>
      <c r="CT61" s="24">
        <v>4</v>
      </c>
      <c r="CU61" s="24">
        <v>4</v>
      </c>
      <c r="CV61" s="24">
        <v>4</v>
      </c>
      <c r="CW61" s="24">
        <v>4</v>
      </c>
      <c r="CX61" s="24">
        <v>4</v>
      </c>
      <c r="CY61" s="24">
        <v>4</v>
      </c>
      <c r="CZ61" s="24">
        <v>2</v>
      </c>
      <c r="DA61" s="24">
        <v>1</v>
      </c>
      <c r="DB61" s="24" t="s">
        <v>806</v>
      </c>
      <c r="DC61" s="24">
        <v>4</v>
      </c>
      <c r="DD61" s="24" t="s">
        <v>330</v>
      </c>
      <c r="DE61" s="24" t="s">
        <v>136</v>
      </c>
      <c r="DF61" s="24">
        <v>3</v>
      </c>
      <c r="DG61" s="24">
        <v>3</v>
      </c>
      <c r="DH61" s="24">
        <v>3</v>
      </c>
      <c r="DI61" s="24" t="s">
        <v>859</v>
      </c>
      <c r="DJ61" s="24" t="s">
        <v>188</v>
      </c>
      <c r="DK61" s="24" t="s">
        <v>156</v>
      </c>
    </row>
    <row r="62" spans="1:115" ht="22.5" customHeight="1" x14ac:dyDescent="0.2">
      <c r="A62" s="23">
        <v>46065.4189906713</v>
      </c>
      <c r="B62" s="24" t="s">
        <v>860</v>
      </c>
      <c r="C62" s="24">
        <v>0</v>
      </c>
      <c r="D62" s="24" t="s">
        <v>861</v>
      </c>
      <c r="E62" s="24" t="s">
        <v>862</v>
      </c>
      <c r="F62" s="24" t="s">
        <v>163</v>
      </c>
      <c r="G62" s="24">
        <v>59</v>
      </c>
      <c r="H62" s="25" t="s">
        <v>863</v>
      </c>
      <c r="I62" s="24" t="s">
        <v>194</v>
      </c>
      <c r="J62" s="24" t="s">
        <v>133</v>
      </c>
      <c r="K62" s="24" t="s">
        <v>302</v>
      </c>
      <c r="M62" s="24" t="s">
        <v>136</v>
      </c>
      <c r="N62" s="24" t="s">
        <v>240</v>
      </c>
      <c r="O62" s="24" t="s">
        <v>355</v>
      </c>
      <c r="P62" s="24" t="s">
        <v>156</v>
      </c>
      <c r="Q62" s="24" t="s">
        <v>254</v>
      </c>
      <c r="R62" s="24" t="s">
        <v>270</v>
      </c>
      <c r="S62" s="24" t="s">
        <v>266</v>
      </c>
      <c r="T62" s="24" t="s">
        <v>136</v>
      </c>
      <c r="U62" s="24" t="s">
        <v>241</v>
      </c>
      <c r="V62" s="24" t="s">
        <v>864</v>
      </c>
      <c r="AI62" s="24" t="s">
        <v>304</v>
      </c>
      <c r="AJ62" s="24" t="s">
        <v>136</v>
      </c>
      <c r="AK62" s="24" t="s">
        <v>136</v>
      </c>
      <c r="AL62" s="24" t="s">
        <v>136</v>
      </c>
      <c r="AM62" s="24" t="s">
        <v>136</v>
      </c>
      <c r="AN62" s="24" t="s">
        <v>136</v>
      </c>
      <c r="AO62" s="24" t="s">
        <v>136</v>
      </c>
      <c r="AP62" s="24" t="s">
        <v>136</v>
      </c>
      <c r="AQ62" s="24" t="s">
        <v>136</v>
      </c>
      <c r="BU62" s="24" t="s">
        <v>649</v>
      </c>
      <c r="BV62" s="24" t="s">
        <v>136</v>
      </c>
      <c r="BY62" s="24" t="s">
        <v>420</v>
      </c>
      <c r="BZ62" s="24" t="s">
        <v>307</v>
      </c>
      <c r="CA62" s="24" t="s">
        <v>338</v>
      </c>
      <c r="CB62" s="24" t="s">
        <v>267</v>
      </c>
      <c r="CC62" s="24" t="s">
        <v>150</v>
      </c>
      <c r="CD62" s="24" t="s">
        <v>322</v>
      </c>
      <c r="CE62" s="24" t="s">
        <v>152</v>
      </c>
      <c r="CF62" s="24" t="s">
        <v>273</v>
      </c>
      <c r="CG62" s="24">
        <v>4</v>
      </c>
      <c r="CH62" s="24" t="s">
        <v>172</v>
      </c>
      <c r="CI62" s="24" t="s">
        <v>865</v>
      </c>
      <c r="CJ62" s="24" t="s">
        <v>136</v>
      </c>
      <c r="CK62" s="24" t="s">
        <v>231</v>
      </c>
      <c r="CL62" s="24">
        <v>4</v>
      </c>
      <c r="CM62" s="24">
        <v>4</v>
      </c>
      <c r="CN62" s="24">
        <v>4</v>
      </c>
      <c r="CO62" s="24">
        <v>4</v>
      </c>
      <c r="CP62" s="24">
        <v>5</v>
      </c>
      <c r="CQ62" s="24">
        <v>4</v>
      </c>
      <c r="CR62" s="24">
        <v>4</v>
      </c>
      <c r="CS62" s="24">
        <v>4</v>
      </c>
      <c r="CT62" s="24">
        <v>4</v>
      </c>
      <c r="CU62" s="24">
        <v>4</v>
      </c>
      <c r="CV62" s="24">
        <v>4</v>
      </c>
      <c r="CW62" s="24">
        <v>4</v>
      </c>
      <c r="CX62" s="24">
        <v>4</v>
      </c>
      <c r="CY62" s="24">
        <v>4</v>
      </c>
      <c r="CZ62" s="24">
        <v>4</v>
      </c>
      <c r="DB62" s="24" t="s">
        <v>401</v>
      </c>
      <c r="DC62" s="24">
        <v>4</v>
      </c>
      <c r="DD62" s="24" t="s">
        <v>715</v>
      </c>
      <c r="DE62" s="24" t="s">
        <v>136</v>
      </c>
      <c r="DF62" s="24">
        <v>4</v>
      </c>
      <c r="DG62" s="24">
        <v>4</v>
      </c>
      <c r="DH62" s="24">
        <v>4</v>
      </c>
      <c r="DI62" s="24" t="s">
        <v>866</v>
      </c>
      <c r="DJ62" s="24" t="s">
        <v>867</v>
      </c>
      <c r="DK62" s="24" t="s">
        <v>868</v>
      </c>
    </row>
    <row r="63" spans="1:115" ht="22.5" customHeight="1" x14ac:dyDescent="0.2">
      <c r="A63" s="23">
        <v>46065.419702581014</v>
      </c>
      <c r="B63" s="24" t="s">
        <v>869</v>
      </c>
      <c r="C63" s="24">
        <v>0</v>
      </c>
      <c r="D63" s="24" t="s">
        <v>870</v>
      </c>
      <c r="E63" s="24" t="s">
        <v>414</v>
      </c>
      <c r="F63" s="24" t="s">
        <v>163</v>
      </c>
      <c r="G63" s="24">
        <v>59</v>
      </c>
      <c r="H63" s="25" t="s">
        <v>415</v>
      </c>
      <c r="I63" s="24" t="s">
        <v>132</v>
      </c>
      <c r="J63" s="24" t="s">
        <v>133</v>
      </c>
      <c r="K63" s="24" t="s">
        <v>302</v>
      </c>
      <c r="M63" s="24" t="s">
        <v>136</v>
      </c>
      <c r="N63" s="24" t="s">
        <v>240</v>
      </c>
      <c r="O63" s="24" t="s">
        <v>199</v>
      </c>
      <c r="P63" s="24" t="s">
        <v>156</v>
      </c>
      <c r="Q63" s="24" t="s">
        <v>215</v>
      </c>
      <c r="R63" s="24" t="s">
        <v>270</v>
      </c>
      <c r="S63" s="24" t="s">
        <v>313</v>
      </c>
      <c r="T63" s="24" t="s">
        <v>136</v>
      </c>
      <c r="U63" s="24" t="s">
        <v>356</v>
      </c>
      <c r="V63" s="24" t="s">
        <v>199</v>
      </c>
      <c r="AI63" s="24" t="s">
        <v>304</v>
      </c>
      <c r="AJ63" s="24" t="s">
        <v>136</v>
      </c>
      <c r="AK63" s="24" t="s">
        <v>136</v>
      </c>
      <c r="AL63" s="24" t="s">
        <v>136</v>
      </c>
      <c r="AM63" s="24" t="s">
        <v>136</v>
      </c>
      <c r="AN63" s="24" t="s">
        <v>136</v>
      </c>
      <c r="AO63" s="24" t="s">
        <v>136</v>
      </c>
      <c r="AP63" s="24" t="s">
        <v>136</v>
      </c>
      <c r="AQ63" s="24" t="s">
        <v>136</v>
      </c>
      <c r="BU63" s="24" t="s">
        <v>167</v>
      </c>
      <c r="BV63" s="24" t="s">
        <v>136</v>
      </c>
      <c r="BY63" s="24" t="s">
        <v>420</v>
      </c>
      <c r="BZ63" s="24" t="s">
        <v>337</v>
      </c>
      <c r="CA63" s="24" t="s">
        <v>338</v>
      </c>
      <c r="CB63" s="24" t="s">
        <v>149</v>
      </c>
      <c r="CC63" s="24" t="s">
        <v>242</v>
      </c>
      <c r="CD63" s="24" t="s">
        <v>229</v>
      </c>
      <c r="CE63" s="24" t="s">
        <v>152</v>
      </c>
      <c r="CF63" s="24" t="s">
        <v>153</v>
      </c>
      <c r="CG63" s="24">
        <v>4</v>
      </c>
      <c r="CH63" s="24" t="s">
        <v>481</v>
      </c>
      <c r="CI63" s="24" t="s">
        <v>352</v>
      </c>
      <c r="CJ63" s="24" t="s">
        <v>136</v>
      </c>
      <c r="CK63" s="24" t="s">
        <v>362</v>
      </c>
      <c r="CL63" s="24">
        <v>4</v>
      </c>
      <c r="CM63" s="24">
        <v>4</v>
      </c>
      <c r="CN63" s="24">
        <v>4</v>
      </c>
      <c r="CO63" s="24">
        <v>4</v>
      </c>
      <c r="CP63" s="24">
        <v>5</v>
      </c>
      <c r="CQ63" s="24">
        <v>4</v>
      </c>
      <c r="CR63" s="24">
        <v>4</v>
      </c>
      <c r="CS63" s="24">
        <v>4</v>
      </c>
      <c r="CT63" s="24">
        <v>4</v>
      </c>
      <c r="CU63" s="24">
        <v>4</v>
      </c>
      <c r="CV63" s="24">
        <v>4</v>
      </c>
      <c r="CW63" s="24">
        <v>4</v>
      </c>
      <c r="CX63" s="24">
        <v>4</v>
      </c>
      <c r="CY63" s="24">
        <v>4</v>
      </c>
      <c r="CZ63" s="24">
        <v>4</v>
      </c>
      <c r="DA63" s="24">
        <v>4</v>
      </c>
      <c r="DB63" s="24" t="s">
        <v>871</v>
      </c>
      <c r="DC63" s="24">
        <v>4</v>
      </c>
      <c r="DD63" s="24" t="s">
        <v>872</v>
      </c>
      <c r="DE63" s="24" t="s">
        <v>136</v>
      </c>
      <c r="DF63" s="24">
        <v>4</v>
      </c>
      <c r="DG63" s="24">
        <v>4</v>
      </c>
      <c r="DH63" s="24">
        <v>3</v>
      </c>
      <c r="DI63" s="24" t="s">
        <v>873</v>
      </c>
      <c r="DJ63" s="24" t="s">
        <v>378</v>
      </c>
      <c r="DK63" s="24" t="s">
        <v>874</v>
      </c>
    </row>
    <row r="64" spans="1:115" ht="22.5" customHeight="1" x14ac:dyDescent="0.2">
      <c r="A64" s="23">
        <v>46065.430706180559</v>
      </c>
      <c r="B64" s="24" t="s">
        <v>875</v>
      </c>
      <c r="C64" s="24">
        <v>0</v>
      </c>
      <c r="D64" s="24" t="s">
        <v>876</v>
      </c>
      <c r="E64" s="24" t="s">
        <v>877</v>
      </c>
      <c r="F64" s="24" t="s">
        <v>163</v>
      </c>
      <c r="G64" s="24">
        <v>60</v>
      </c>
      <c r="H64" s="25" t="s">
        <v>878</v>
      </c>
      <c r="I64" s="24" t="s">
        <v>194</v>
      </c>
      <c r="J64" s="24" t="s">
        <v>133</v>
      </c>
      <c r="K64" s="24" t="s">
        <v>345</v>
      </c>
      <c r="M64" s="24" t="s">
        <v>136</v>
      </c>
      <c r="N64" s="24" t="s">
        <v>425</v>
      </c>
      <c r="O64" s="24" t="s">
        <v>355</v>
      </c>
      <c r="P64" s="24" t="s">
        <v>136</v>
      </c>
      <c r="Q64" s="24" t="s">
        <v>303</v>
      </c>
      <c r="R64" s="24" t="s">
        <v>270</v>
      </c>
      <c r="S64" s="24" t="s">
        <v>277</v>
      </c>
      <c r="T64" s="24" t="s">
        <v>136</v>
      </c>
      <c r="U64" s="24" t="s">
        <v>241</v>
      </c>
      <c r="V64" s="24" t="s">
        <v>199</v>
      </c>
      <c r="AI64" s="24" t="s">
        <v>144</v>
      </c>
      <c r="AJ64" s="24" t="s">
        <v>136</v>
      </c>
      <c r="AK64" s="24" t="s">
        <v>136</v>
      </c>
      <c r="AL64" s="24" t="s">
        <v>156</v>
      </c>
      <c r="AM64" s="24" t="s">
        <v>136</v>
      </c>
      <c r="AN64" s="24" t="s">
        <v>156</v>
      </c>
      <c r="AO64" s="24" t="s">
        <v>156</v>
      </c>
      <c r="AP64" s="24" t="s">
        <v>136</v>
      </c>
      <c r="AQ64" s="24" t="s">
        <v>156</v>
      </c>
      <c r="BN64" s="24" t="s">
        <v>167</v>
      </c>
      <c r="BO64" s="24" t="s">
        <v>156</v>
      </c>
      <c r="BQ64" s="24" t="s">
        <v>879</v>
      </c>
      <c r="BR64" s="24" t="s">
        <v>168</v>
      </c>
      <c r="BS64" s="24" t="s">
        <v>169</v>
      </c>
      <c r="BT64" s="24" t="s">
        <v>148</v>
      </c>
      <c r="CB64" s="24" t="s">
        <v>267</v>
      </c>
      <c r="CC64" s="24" t="s">
        <v>150</v>
      </c>
      <c r="CD64" s="24" t="s">
        <v>322</v>
      </c>
      <c r="CE64" s="24" t="s">
        <v>152</v>
      </c>
      <c r="CF64" s="24" t="s">
        <v>153</v>
      </c>
      <c r="CG64" s="24">
        <v>4</v>
      </c>
      <c r="CH64" s="24" t="s">
        <v>172</v>
      </c>
      <c r="CI64" s="24" t="s">
        <v>287</v>
      </c>
      <c r="CJ64" s="24" t="s">
        <v>136</v>
      </c>
      <c r="CK64" s="24" t="s">
        <v>430</v>
      </c>
      <c r="CL64" s="24">
        <v>2</v>
      </c>
      <c r="CM64" s="24">
        <v>2</v>
      </c>
      <c r="CN64" s="24">
        <v>4</v>
      </c>
      <c r="CO64" s="24">
        <v>4</v>
      </c>
      <c r="CP64" s="24">
        <v>3</v>
      </c>
      <c r="CQ64" s="24">
        <v>3</v>
      </c>
      <c r="CR64" s="24">
        <v>3</v>
      </c>
      <c r="CS64" s="24">
        <v>2</v>
      </c>
      <c r="CT64" s="24">
        <v>2</v>
      </c>
      <c r="CU64" s="24">
        <v>4</v>
      </c>
      <c r="CV64" s="24">
        <v>2</v>
      </c>
      <c r="CW64" s="24">
        <v>4</v>
      </c>
      <c r="CX64" s="24">
        <v>4</v>
      </c>
      <c r="CY64" s="24">
        <v>4</v>
      </c>
      <c r="CZ64" s="24">
        <v>2</v>
      </c>
      <c r="DA64" s="24">
        <v>2</v>
      </c>
      <c r="DB64" s="24" t="s">
        <v>880</v>
      </c>
      <c r="DC64" s="24">
        <v>4</v>
      </c>
      <c r="DD64" s="24" t="s">
        <v>881</v>
      </c>
      <c r="DE64" s="24" t="s">
        <v>156</v>
      </c>
      <c r="DJ64" s="24" t="s">
        <v>210</v>
      </c>
      <c r="DK64" s="24" t="s">
        <v>137</v>
      </c>
    </row>
    <row r="65" spans="1:115" ht="22.5" customHeight="1" x14ac:dyDescent="0.2">
      <c r="A65" s="23">
        <v>46065.438029270837</v>
      </c>
      <c r="B65" s="24" t="s">
        <v>882</v>
      </c>
      <c r="C65" s="24">
        <v>0</v>
      </c>
      <c r="D65" s="24" t="s">
        <v>883</v>
      </c>
      <c r="E65" s="24" t="s">
        <v>884</v>
      </c>
      <c r="F65" s="24" t="s">
        <v>163</v>
      </c>
      <c r="G65" s="24">
        <v>60</v>
      </c>
      <c r="H65" s="25" t="s">
        <v>885</v>
      </c>
      <c r="I65" s="24" t="s">
        <v>132</v>
      </c>
      <c r="J65" s="24" t="s">
        <v>301</v>
      </c>
      <c r="K65" s="24" t="s">
        <v>345</v>
      </c>
      <c r="M65" s="24" t="s">
        <v>136</v>
      </c>
      <c r="N65" s="24" t="s">
        <v>240</v>
      </c>
      <c r="O65" s="24" t="s">
        <v>199</v>
      </c>
      <c r="P65" s="24" t="s">
        <v>156</v>
      </c>
      <c r="Q65" s="24" t="s">
        <v>215</v>
      </c>
      <c r="R65" s="24" t="s">
        <v>270</v>
      </c>
      <c r="S65" s="24" t="s">
        <v>266</v>
      </c>
      <c r="T65" s="24" t="s">
        <v>136</v>
      </c>
      <c r="U65" s="24" t="s">
        <v>202</v>
      </c>
      <c r="V65" s="24" t="s">
        <v>199</v>
      </c>
      <c r="AI65" s="24" t="s">
        <v>144</v>
      </c>
      <c r="AJ65" s="24" t="s">
        <v>136</v>
      </c>
      <c r="AK65" s="24" t="s">
        <v>136</v>
      </c>
      <c r="AL65" s="24" t="s">
        <v>136</v>
      </c>
      <c r="AM65" s="24" t="s">
        <v>156</v>
      </c>
      <c r="AN65" s="24" t="s">
        <v>136</v>
      </c>
      <c r="AO65" s="24" t="s">
        <v>136</v>
      </c>
      <c r="AP65" s="24" t="s">
        <v>156</v>
      </c>
      <c r="AQ65" s="24" t="s">
        <v>156</v>
      </c>
      <c r="BN65" s="24" t="s">
        <v>167</v>
      </c>
      <c r="BO65" s="24" t="s">
        <v>136</v>
      </c>
      <c r="BP65" s="24" t="s">
        <v>886</v>
      </c>
      <c r="BR65" s="24" t="s">
        <v>146</v>
      </c>
      <c r="BS65" s="24" t="s">
        <v>147</v>
      </c>
      <c r="BT65" s="24" t="s">
        <v>170</v>
      </c>
      <c r="CB65" s="24" t="s">
        <v>267</v>
      </c>
      <c r="CC65" s="24" t="s">
        <v>150</v>
      </c>
      <c r="CD65" s="24" t="s">
        <v>229</v>
      </c>
      <c r="CE65" s="24" t="s">
        <v>152</v>
      </c>
      <c r="CF65" s="24" t="s">
        <v>243</v>
      </c>
      <c r="CG65" s="24">
        <v>4</v>
      </c>
      <c r="CH65" s="24" t="s">
        <v>154</v>
      </c>
      <c r="CI65" s="24" t="s">
        <v>352</v>
      </c>
      <c r="CJ65" s="24" t="s">
        <v>136</v>
      </c>
      <c r="CK65" s="24" t="s">
        <v>279</v>
      </c>
      <c r="CL65" s="24">
        <v>3</v>
      </c>
      <c r="CM65" s="24">
        <v>3</v>
      </c>
      <c r="CN65" s="24">
        <v>4</v>
      </c>
      <c r="CO65" s="24">
        <v>4</v>
      </c>
      <c r="CP65" s="24">
        <v>5</v>
      </c>
      <c r="CQ65" s="24">
        <v>2</v>
      </c>
      <c r="CR65" s="24">
        <v>4</v>
      </c>
      <c r="CS65" s="24">
        <v>4</v>
      </c>
      <c r="CT65" s="24">
        <v>4</v>
      </c>
      <c r="CU65" s="24">
        <v>4</v>
      </c>
      <c r="CV65" s="24">
        <v>4</v>
      </c>
      <c r="CW65" s="24">
        <v>4</v>
      </c>
      <c r="CX65" s="24">
        <v>4</v>
      </c>
      <c r="CY65" s="24">
        <v>4</v>
      </c>
      <c r="CZ65" s="24">
        <v>4</v>
      </c>
      <c r="DA65" s="24">
        <v>2</v>
      </c>
      <c r="DB65" s="24" t="s">
        <v>315</v>
      </c>
      <c r="DC65" s="24">
        <v>4</v>
      </c>
      <c r="DD65" s="24" t="s">
        <v>744</v>
      </c>
      <c r="DE65" s="24" t="s">
        <v>136</v>
      </c>
      <c r="DF65" s="24">
        <v>4</v>
      </c>
      <c r="DG65" s="24">
        <v>4</v>
      </c>
      <c r="DH65" s="24">
        <v>4</v>
      </c>
      <c r="DI65" s="24" t="s">
        <v>887</v>
      </c>
      <c r="DJ65" s="24" t="s">
        <v>262</v>
      </c>
      <c r="DK65" s="24" t="s">
        <v>888</v>
      </c>
    </row>
    <row r="66" spans="1:115" ht="22.5" customHeight="1" x14ac:dyDescent="0.2">
      <c r="A66" s="23">
        <v>46065.439028368055</v>
      </c>
      <c r="B66" s="24" t="s">
        <v>889</v>
      </c>
      <c r="C66" s="24">
        <v>0</v>
      </c>
      <c r="D66" s="24" t="s">
        <v>890</v>
      </c>
      <c r="E66" s="24" t="s">
        <v>891</v>
      </c>
      <c r="F66" s="24" t="s">
        <v>163</v>
      </c>
      <c r="G66" s="24">
        <v>60</v>
      </c>
      <c r="H66" s="25" t="s">
        <v>892</v>
      </c>
      <c r="I66" s="24" t="s">
        <v>275</v>
      </c>
      <c r="J66" s="24" t="s">
        <v>344</v>
      </c>
      <c r="K66" s="24" t="s">
        <v>135</v>
      </c>
      <c r="M66" s="24" t="s">
        <v>136</v>
      </c>
      <c r="N66" s="24" t="s">
        <v>240</v>
      </c>
      <c r="O66" s="24" t="s">
        <v>199</v>
      </c>
      <c r="P66" s="24" t="s">
        <v>156</v>
      </c>
      <c r="Q66" s="24" t="s">
        <v>215</v>
      </c>
      <c r="R66" s="24" t="s">
        <v>217</v>
      </c>
      <c r="S66" s="24" t="s">
        <v>277</v>
      </c>
      <c r="T66" s="24" t="s">
        <v>136</v>
      </c>
      <c r="U66" s="24" t="s">
        <v>356</v>
      </c>
      <c r="V66" s="24" t="s">
        <v>199</v>
      </c>
      <c r="AI66" s="24" t="s">
        <v>144</v>
      </c>
      <c r="AJ66" s="24" t="s">
        <v>136</v>
      </c>
      <c r="AK66" s="24" t="s">
        <v>136</v>
      </c>
      <c r="AL66" s="24" t="s">
        <v>136</v>
      </c>
      <c r="AM66" s="24" t="s">
        <v>136</v>
      </c>
      <c r="AN66" s="24" t="s">
        <v>156</v>
      </c>
      <c r="AO66" s="24" t="s">
        <v>136</v>
      </c>
      <c r="AP66" s="24" t="s">
        <v>136</v>
      </c>
      <c r="AQ66" s="24" t="s">
        <v>156</v>
      </c>
      <c r="BN66" s="24" t="s">
        <v>167</v>
      </c>
      <c r="BO66" s="24" t="s">
        <v>156</v>
      </c>
      <c r="BQ66" s="24" t="s">
        <v>893</v>
      </c>
      <c r="BR66" s="24" t="s">
        <v>168</v>
      </c>
      <c r="BS66" s="24" t="s">
        <v>169</v>
      </c>
      <c r="BT66" s="24" t="s">
        <v>170</v>
      </c>
      <c r="CB66" s="24" t="s">
        <v>149</v>
      </c>
      <c r="CC66" s="24" t="s">
        <v>150</v>
      </c>
      <c r="CD66" s="24" t="s">
        <v>171</v>
      </c>
      <c r="CE66" s="24" t="s">
        <v>152</v>
      </c>
      <c r="CF66" s="24" t="s">
        <v>153</v>
      </c>
      <c r="CG66" s="24">
        <v>4</v>
      </c>
      <c r="CH66" s="24" t="s">
        <v>244</v>
      </c>
      <c r="CI66" s="24" t="s">
        <v>259</v>
      </c>
      <c r="CJ66" s="24" t="s">
        <v>156</v>
      </c>
      <c r="CK66" s="24" t="s">
        <v>207</v>
      </c>
      <c r="CL66" s="24">
        <v>1</v>
      </c>
      <c r="CM66" s="24">
        <v>1</v>
      </c>
      <c r="CN66" s="24">
        <v>3</v>
      </c>
      <c r="CO66" s="24">
        <v>4</v>
      </c>
      <c r="CP66" s="24">
        <v>1</v>
      </c>
      <c r="CQ66" s="24">
        <v>1</v>
      </c>
      <c r="CR66" s="24">
        <v>4</v>
      </c>
      <c r="CS66" s="24">
        <v>4</v>
      </c>
      <c r="CT66" s="24">
        <v>4</v>
      </c>
      <c r="CU66" s="24">
        <v>3</v>
      </c>
      <c r="CV66" s="24">
        <v>4</v>
      </c>
      <c r="CW66" s="24">
        <v>4</v>
      </c>
      <c r="CX66" s="24">
        <v>4</v>
      </c>
      <c r="CY66" s="24">
        <v>4</v>
      </c>
      <c r="CZ66" s="24">
        <v>2</v>
      </c>
      <c r="DA66" s="24">
        <v>1</v>
      </c>
      <c r="DB66" s="24" t="s">
        <v>894</v>
      </c>
      <c r="DC66" s="24">
        <v>4</v>
      </c>
      <c r="DD66" s="24" t="s">
        <v>325</v>
      </c>
      <c r="DE66" s="24" t="s">
        <v>156</v>
      </c>
      <c r="DJ66" s="24" t="s">
        <v>390</v>
      </c>
      <c r="DK66" s="24" t="s">
        <v>888</v>
      </c>
    </row>
    <row r="67" spans="1:115" ht="22.5" customHeight="1" x14ac:dyDescent="0.2">
      <c r="A67" s="23">
        <v>46065.443005023146</v>
      </c>
      <c r="B67" s="24" t="s">
        <v>895</v>
      </c>
      <c r="C67" s="24">
        <v>0</v>
      </c>
      <c r="D67" s="24" t="s">
        <v>896</v>
      </c>
      <c r="E67" s="24" t="s">
        <v>897</v>
      </c>
      <c r="F67" s="24" t="s">
        <v>163</v>
      </c>
      <c r="G67" s="24">
        <v>59</v>
      </c>
      <c r="H67" s="25" t="s">
        <v>898</v>
      </c>
      <c r="I67" s="24" t="s">
        <v>194</v>
      </c>
      <c r="J67" s="24" t="s">
        <v>301</v>
      </c>
      <c r="K67" s="24" t="s">
        <v>135</v>
      </c>
      <c r="M67" s="24" t="s">
        <v>156</v>
      </c>
      <c r="N67" s="24" t="s">
        <v>215</v>
      </c>
      <c r="O67" s="24" t="s">
        <v>216</v>
      </c>
      <c r="P67" s="24" t="s">
        <v>156</v>
      </c>
      <c r="Q67" s="24" t="s">
        <v>215</v>
      </c>
      <c r="R67" s="24" t="s">
        <v>318</v>
      </c>
      <c r="S67" s="24" t="s">
        <v>544</v>
      </c>
      <c r="T67" s="24" t="s">
        <v>156</v>
      </c>
      <c r="U67" s="24" t="s">
        <v>215</v>
      </c>
      <c r="V67" s="24" t="s">
        <v>899</v>
      </c>
      <c r="W67" s="24" t="s">
        <v>459</v>
      </c>
      <c r="X67" s="24" t="s">
        <v>900</v>
      </c>
      <c r="Y67" s="24" t="s">
        <v>901</v>
      </c>
      <c r="Z67" s="24" t="s">
        <v>136</v>
      </c>
      <c r="AA67" s="24" t="s">
        <v>136</v>
      </c>
      <c r="AB67" s="24" t="s">
        <v>136</v>
      </c>
      <c r="AC67" s="24" t="s">
        <v>136</v>
      </c>
      <c r="AD67" s="24" t="s">
        <v>136</v>
      </c>
      <c r="AE67" s="24" t="s">
        <v>136</v>
      </c>
      <c r="AF67" s="24" t="s">
        <v>136</v>
      </c>
      <c r="AG67" s="24" t="s">
        <v>136</v>
      </c>
      <c r="AH67" s="24" t="s">
        <v>304</v>
      </c>
      <c r="CJ67" s="24" t="s">
        <v>136</v>
      </c>
      <c r="CK67" s="24" t="s">
        <v>231</v>
      </c>
      <c r="CL67" s="24">
        <v>2</v>
      </c>
      <c r="CM67" s="24">
        <v>2</v>
      </c>
      <c r="CN67" s="24">
        <v>3</v>
      </c>
      <c r="CO67" s="24">
        <v>3</v>
      </c>
      <c r="CP67" s="24">
        <v>4</v>
      </c>
      <c r="CQ67" s="24">
        <v>2</v>
      </c>
      <c r="CR67" s="24">
        <v>3</v>
      </c>
      <c r="CS67" s="24">
        <v>2</v>
      </c>
      <c r="CT67" s="24">
        <v>2</v>
      </c>
      <c r="CU67" s="24">
        <v>2</v>
      </c>
      <c r="CV67" s="24">
        <v>3</v>
      </c>
      <c r="CW67" s="24">
        <v>3</v>
      </c>
      <c r="CX67" s="24">
        <v>3</v>
      </c>
      <c r="CY67" s="24">
        <v>2</v>
      </c>
      <c r="CZ67" s="24">
        <v>2</v>
      </c>
      <c r="DA67" s="24">
        <v>3</v>
      </c>
      <c r="DB67" s="24" t="s">
        <v>413</v>
      </c>
      <c r="DC67" s="24">
        <v>4</v>
      </c>
      <c r="DD67" s="24" t="s">
        <v>788</v>
      </c>
      <c r="DE67" s="24" t="s">
        <v>156</v>
      </c>
      <c r="DJ67" s="24" t="s">
        <v>902</v>
      </c>
      <c r="DK67" s="24" t="s">
        <v>137</v>
      </c>
    </row>
    <row r="68" spans="1:115" ht="22.5" customHeight="1" x14ac:dyDescent="0.2">
      <c r="A68" s="23">
        <v>46065.445657291668</v>
      </c>
      <c r="B68" s="24" t="s">
        <v>903</v>
      </c>
      <c r="C68" s="24">
        <v>0</v>
      </c>
      <c r="D68" s="24" t="s">
        <v>904</v>
      </c>
      <c r="E68" s="24" t="s">
        <v>905</v>
      </c>
      <c r="F68" s="24" t="s">
        <v>163</v>
      </c>
      <c r="G68" s="24">
        <v>61</v>
      </c>
      <c r="H68" s="25" t="s">
        <v>906</v>
      </c>
      <c r="I68" s="24" t="s">
        <v>194</v>
      </c>
      <c r="J68" s="24" t="s">
        <v>133</v>
      </c>
      <c r="K68" s="24" t="s">
        <v>317</v>
      </c>
      <c r="M68" s="24" t="s">
        <v>136</v>
      </c>
      <c r="N68" s="24" t="s">
        <v>264</v>
      </c>
      <c r="O68" s="24" t="s">
        <v>355</v>
      </c>
      <c r="P68" s="24" t="s">
        <v>136</v>
      </c>
      <c r="Q68" s="24" t="s">
        <v>254</v>
      </c>
      <c r="R68" s="24" t="s">
        <v>318</v>
      </c>
      <c r="S68" s="24" t="s">
        <v>313</v>
      </c>
      <c r="T68" s="24" t="s">
        <v>136</v>
      </c>
      <c r="U68" s="24" t="s">
        <v>335</v>
      </c>
      <c r="V68" s="24" t="s">
        <v>899</v>
      </c>
      <c r="AI68" s="24" t="s">
        <v>304</v>
      </c>
      <c r="AJ68" s="24" t="s">
        <v>156</v>
      </c>
      <c r="AK68" s="24" t="s">
        <v>136</v>
      </c>
      <c r="AL68" s="24" t="s">
        <v>136</v>
      </c>
      <c r="AM68" s="24" t="s">
        <v>156</v>
      </c>
      <c r="AN68" s="24" t="s">
        <v>136</v>
      </c>
      <c r="AO68" s="24" t="s">
        <v>156</v>
      </c>
      <c r="AP68" s="24" t="s">
        <v>136</v>
      </c>
      <c r="AQ68" s="24" t="s">
        <v>156</v>
      </c>
      <c r="BU68" s="24" t="s">
        <v>305</v>
      </c>
      <c r="BV68" s="24" t="s">
        <v>136</v>
      </c>
      <c r="BW68" s="24" t="s">
        <v>156</v>
      </c>
      <c r="BX68" s="24" t="s">
        <v>907</v>
      </c>
      <c r="BY68" s="24" t="s">
        <v>536</v>
      </c>
      <c r="BZ68" s="24" t="s">
        <v>307</v>
      </c>
      <c r="CA68" s="24" t="s">
        <v>377</v>
      </c>
      <c r="CB68" s="24" t="s">
        <v>267</v>
      </c>
      <c r="CC68" s="24" t="s">
        <v>150</v>
      </c>
      <c r="CD68" s="24" t="s">
        <v>322</v>
      </c>
      <c r="CE68" s="24" t="s">
        <v>204</v>
      </c>
      <c r="CF68" s="24" t="s">
        <v>243</v>
      </c>
      <c r="CG68" s="24">
        <v>2</v>
      </c>
      <c r="CH68" s="24" t="s">
        <v>434</v>
      </c>
      <c r="CI68" s="24" t="s">
        <v>339</v>
      </c>
      <c r="CJ68" s="24" t="s">
        <v>136</v>
      </c>
      <c r="CK68" s="24" t="s">
        <v>328</v>
      </c>
      <c r="CL68" s="24">
        <v>2</v>
      </c>
      <c r="CM68" s="24">
        <v>2</v>
      </c>
      <c r="CN68" s="24">
        <v>3</v>
      </c>
      <c r="CO68" s="24">
        <v>3</v>
      </c>
      <c r="CP68" s="24">
        <v>3</v>
      </c>
      <c r="CQ68" s="24">
        <v>2</v>
      </c>
      <c r="CR68" s="24">
        <v>3</v>
      </c>
      <c r="CS68" s="24">
        <v>3</v>
      </c>
      <c r="CT68" s="24">
        <v>2</v>
      </c>
      <c r="CU68" s="24">
        <v>2</v>
      </c>
      <c r="CV68" s="24">
        <v>2</v>
      </c>
      <c r="CW68" s="24">
        <v>2</v>
      </c>
      <c r="CX68" s="24">
        <v>3</v>
      </c>
      <c r="CY68" s="24">
        <v>3</v>
      </c>
      <c r="CZ68" s="24">
        <v>2</v>
      </c>
      <c r="DA68" s="24">
        <v>2</v>
      </c>
      <c r="DB68" s="24" t="s">
        <v>908</v>
      </c>
      <c r="DC68" s="24">
        <v>3</v>
      </c>
      <c r="DD68" s="24" t="s">
        <v>909</v>
      </c>
      <c r="DE68" s="24" t="s">
        <v>136</v>
      </c>
      <c r="DF68" s="24">
        <v>2</v>
      </c>
      <c r="DG68" s="24">
        <v>2</v>
      </c>
      <c r="DH68" s="24">
        <v>3</v>
      </c>
      <c r="DI68" s="24" t="s">
        <v>910</v>
      </c>
      <c r="DJ68" s="24" t="s">
        <v>210</v>
      </c>
      <c r="DK68" s="24" t="s">
        <v>137</v>
      </c>
    </row>
    <row r="69" spans="1:115" ht="22.5" customHeight="1" x14ac:dyDescent="0.2">
      <c r="A69" s="23">
        <v>46065.451610578704</v>
      </c>
      <c r="B69" s="24" t="s">
        <v>911</v>
      </c>
      <c r="C69" s="24">
        <v>0</v>
      </c>
      <c r="D69" s="24" t="s">
        <v>912</v>
      </c>
      <c r="E69" s="24" t="s">
        <v>913</v>
      </c>
      <c r="F69" s="24" t="s">
        <v>128</v>
      </c>
      <c r="G69" s="24">
        <v>61</v>
      </c>
      <c r="H69" s="25" t="s">
        <v>914</v>
      </c>
      <c r="I69" s="24" t="s">
        <v>194</v>
      </c>
      <c r="J69" s="24" t="s">
        <v>301</v>
      </c>
      <c r="K69" s="24" t="s">
        <v>135</v>
      </c>
      <c r="M69" s="24" t="s">
        <v>136</v>
      </c>
      <c r="N69" s="24" t="s">
        <v>264</v>
      </c>
      <c r="O69" s="24" t="s">
        <v>199</v>
      </c>
      <c r="P69" s="24" t="s">
        <v>156</v>
      </c>
      <c r="Q69" s="24" t="s">
        <v>215</v>
      </c>
      <c r="R69" s="24" t="s">
        <v>318</v>
      </c>
      <c r="S69" s="24" t="s">
        <v>544</v>
      </c>
      <c r="T69" s="24" t="s">
        <v>136</v>
      </c>
      <c r="U69" s="24" t="s">
        <v>241</v>
      </c>
      <c r="V69" s="24" t="s">
        <v>199</v>
      </c>
      <c r="AI69" s="24" t="s">
        <v>304</v>
      </c>
      <c r="AJ69" s="24" t="s">
        <v>136</v>
      </c>
      <c r="AK69" s="24" t="s">
        <v>136</v>
      </c>
      <c r="AL69" s="24" t="s">
        <v>136</v>
      </c>
      <c r="AM69" s="24" t="s">
        <v>156</v>
      </c>
      <c r="AN69" s="24" t="s">
        <v>136</v>
      </c>
      <c r="AO69" s="24" t="s">
        <v>136</v>
      </c>
      <c r="AP69" s="24" t="s">
        <v>136</v>
      </c>
      <c r="AQ69" s="24" t="s">
        <v>156</v>
      </c>
      <c r="BU69" s="24" t="s">
        <v>305</v>
      </c>
      <c r="BV69" s="24" t="s">
        <v>136</v>
      </c>
      <c r="BW69" s="24" t="s">
        <v>915</v>
      </c>
      <c r="BY69" s="24" t="s">
        <v>306</v>
      </c>
      <c r="BZ69" s="24" t="s">
        <v>307</v>
      </c>
      <c r="CA69" s="24" t="s">
        <v>377</v>
      </c>
      <c r="CB69" s="24" t="s">
        <v>149</v>
      </c>
      <c r="CC69" s="24" t="s">
        <v>150</v>
      </c>
      <c r="CD69" s="24" t="s">
        <v>229</v>
      </c>
      <c r="CE69" s="24" t="s">
        <v>152</v>
      </c>
      <c r="CF69" s="24" t="s">
        <v>153</v>
      </c>
      <c r="CG69" s="24">
        <v>4</v>
      </c>
      <c r="CH69" s="24" t="s">
        <v>154</v>
      </c>
      <c r="CI69" s="24" t="s">
        <v>916</v>
      </c>
      <c r="CJ69" s="24" t="s">
        <v>136</v>
      </c>
      <c r="CK69" s="24" t="s">
        <v>246</v>
      </c>
      <c r="CL69" s="24">
        <v>4</v>
      </c>
      <c r="CM69" s="24">
        <v>4</v>
      </c>
      <c r="CN69" s="24">
        <v>4</v>
      </c>
      <c r="CO69" s="24">
        <v>4</v>
      </c>
      <c r="CP69" s="24">
        <v>5</v>
      </c>
      <c r="CQ69" s="24">
        <v>4</v>
      </c>
      <c r="CR69" s="24">
        <v>4</v>
      </c>
      <c r="CS69" s="24">
        <v>4</v>
      </c>
      <c r="CT69" s="24">
        <v>4</v>
      </c>
      <c r="CU69" s="24">
        <v>4</v>
      </c>
      <c r="CV69" s="24">
        <v>4</v>
      </c>
      <c r="CW69" s="24">
        <v>4</v>
      </c>
      <c r="CX69" s="24">
        <v>4</v>
      </c>
      <c r="CY69" s="24">
        <v>4</v>
      </c>
      <c r="CZ69" s="24">
        <v>4</v>
      </c>
      <c r="DA69" s="24">
        <v>4</v>
      </c>
      <c r="DB69" s="24" t="s">
        <v>295</v>
      </c>
      <c r="DC69" s="24">
        <v>4</v>
      </c>
      <c r="DD69" s="24" t="s">
        <v>363</v>
      </c>
      <c r="DE69" s="24" t="s">
        <v>136</v>
      </c>
      <c r="DF69" s="24">
        <v>4</v>
      </c>
      <c r="DG69" s="24">
        <v>4</v>
      </c>
      <c r="DH69" s="24">
        <v>4</v>
      </c>
      <c r="DI69" s="24" t="s">
        <v>917</v>
      </c>
      <c r="DJ69" s="24" t="s">
        <v>188</v>
      </c>
      <c r="DK69" s="24" t="s">
        <v>326</v>
      </c>
    </row>
    <row r="70" spans="1:115" ht="22.5" customHeight="1" x14ac:dyDescent="0.2">
      <c r="A70" s="23">
        <v>46065.456373124995</v>
      </c>
      <c r="B70" s="24" t="s">
        <v>918</v>
      </c>
      <c r="C70" s="24">
        <v>0</v>
      </c>
      <c r="D70" s="24" t="s">
        <v>919</v>
      </c>
      <c r="E70" s="24" t="s">
        <v>920</v>
      </c>
      <c r="F70" s="24" t="s">
        <v>128</v>
      </c>
      <c r="G70" s="24">
        <v>62</v>
      </c>
      <c r="H70" s="25" t="s">
        <v>921</v>
      </c>
      <c r="I70" s="24" t="s">
        <v>275</v>
      </c>
      <c r="J70" s="24" t="s">
        <v>133</v>
      </c>
      <c r="K70" s="24" t="s">
        <v>135</v>
      </c>
      <c r="M70" s="24" t="s">
        <v>136</v>
      </c>
      <c r="N70" s="24" t="s">
        <v>240</v>
      </c>
      <c r="O70" s="24" t="s">
        <v>199</v>
      </c>
      <c r="P70" s="24" t="s">
        <v>136</v>
      </c>
      <c r="Q70" s="24" t="s">
        <v>502</v>
      </c>
      <c r="R70" s="24" t="s">
        <v>199</v>
      </c>
      <c r="S70" s="24" t="s">
        <v>277</v>
      </c>
      <c r="T70" s="24" t="s">
        <v>136</v>
      </c>
      <c r="U70" s="24" t="s">
        <v>241</v>
      </c>
      <c r="V70" s="24" t="s">
        <v>199</v>
      </c>
      <c r="AI70" s="24" t="s">
        <v>144</v>
      </c>
      <c r="AJ70" s="24" t="s">
        <v>136</v>
      </c>
      <c r="AK70" s="24" t="s">
        <v>136</v>
      </c>
      <c r="AL70" s="24" t="s">
        <v>136</v>
      </c>
      <c r="AM70" s="24" t="s">
        <v>136</v>
      </c>
      <c r="AN70" s="24" t="s">
        <v>136</v>
      </c>
      <c r="AO70" s="24" t="s">
        <v>136</v>
      </c>
      <c r="AP70" s="24" t="s">
        <v>136</v>
      </c>
      <c r="AQ70" s="24" t="s">
        <v>136</v>
      </c>
      <c r="BN70" s="24" t="s">
        <v>167</v>
      </c>
      <c r="BO70" s="24" t="s">
        <v>136</v>
      </c>
      <c r="BP70" s="24" t="s">
        <v>922</v>
      </c>
      <c r="BR70" s="24" t="s">
        <v>168</v>
      </c>
      <c r="BS70" s="24" t="s">
        <v>169</v>
      </c>
      <c r="BT70" s="24" t="s">
        <v>170</v>
      </c>
      <c r="CB70" s="24" t="s">
        <v>149</v>
      </c>
      <c r="CC70" s="24" t="s">
        <v>242</v>
      </c>
      <c r="CD70" s="24" t="s">
        <v>229</v>
      </c>
      <c r="CE70" s="24" t="s">
        <v>204</v>
      </c>
      <c r="CF70" s="24" t="s">
        <v>153</v>
      </c>
      <c r="CG70" s="24">
        <v>4</v>
      </c>
      <c r="CH70" s="24" t="s">
        <v>154</v>
      </c>
      <c r="CI70" s="24" t="s">
        <v>365</v>
      </c>
      <c r="CJ70" s="24" t="s">
        <v>136</v>
      </c>
      <c r="CK70" s="24" t="s">
        <v>231</v>
      </c>
      <c r="CL70" s="24">
        <v>4</v>
      </c>
      <c r="CM70" s="24">
        <v>4</v>
      </c>
      <c r="CN70" s="24">
        <v>4</v>
      </c>
      <c r="CO70" s="24">
        <v>4</v>
      </c>
      <c r="CP70" s="24">
        <v>5</v>
      </c>
      <c r="CQ70" s="24">
        <v>4</v>
      </c>
      <c r="CR70" s="24">
        <v>4</v>
      </c>
      <c r="CS70" s="24">
        <v>4</v>
      </c>
      <c r="CT70" s="24">
        <v>4</v>
      </c>
      <c r="CU70" s="24">
        <v>4</v>
      </c>
      <c r="CV70" s="24">
        <v>4</v>
      </c>
      <c r="CW70" s="24">
        <v>4</v>
      </c>
      <c r="CX70" s="24">
        <v>4</v>
      </c>
      <c r="CY70" s="24">
        <v>4</v>
      </c>
      <c r="CZ70" s="24">
        <v>4</v>
      </c>
      <c r="DA70" s="24">
        <v>4</v>
      </c>
      <c r="DB70" s="24" t="s">
        <v>923</v>
      </c>
      <c r="DC70" s="24">
        <v>4</v>
      </c>
      <c r="DD70" s="24" t="s">
        <v>924</v>
      </c>
      <c r="DE70" s="24" t="s">
        <v>156</v>
      </c>
      <c r="DJ70" s="24" t="s">
        <v>290</v>
      </c>
      <c r="DK70" s="24" t="s">
        <v>925</v>
      </c>
    </row>
    <row r="71" spans="1:115" ht="22.5" customHeight="1" x14ac:dyDescent="0.2">
      <c r="A71" s="23">
        <v>46065.460052754628</v>
      </c>
      <c r="B71" s="24" t="s">
        <v>926</v>
      </c>
      <c r="C71" s="24">
        <v>0</v>
      </c>
      <c r="D71" s="24" t="s">
        <v>927</v>
      </c>
      <c r="E71" s="24" t="s">
        <v>928</v>
      </c>
      <c r="F71" s="24" t="s">
        <v>163</v>
      </c>
      <c r="G71" s="24">
        <v>60</v>
      </c>
      <c r="H71" s="25" t="s">
        <v>929</v>
      </c>
      <c r="I71" s="24" t="s">
        <v>194</v>
      </c>
      <c r="J71" s="24" t="s">
        <v>301</v>
      </c>
      <c r="K71" s="24" t="s">
        <v>135</v>
      </c>
      <c r="M71" s="24" t="s">
        <v>136</v>
      </c>
      <c r="N71" s="24" t="s">
        <v>930</v>
      </c>
      <c r="O71" s="24" t="s">
        <v>931</v>
      </c>
      <c r="P71" s="24" t="s">
        <v>156</v>
      </c>
      <c r="Q71" s="24" t="s">
        <v>303</v>
      </c>
      <c r="R71" s="24" t="s">
        <v>217</v>
      </c>
      <c r="S71" s="24" t="s">
        <v>313</v>
      </c>
      <c r="T71" s="24" t="s">
        <v>136</v>
      </c>
      <c r="U71" s="24" t="s">
        <v>693</v>
      </c>
      <c r="V71" s="24" t="s">
        <v>486</v>
      </c>
      <c r="AI71" s="24" t="s">
        <v>219</v>
      </c>
      <c r="AJ71" s="24" t="s">
        <v>136</v>
      </c>
      <c r="AK71" s="24" t="s">
        <v>156</v>
      </c>
      <c r="AL71" s="24" t="s">
        <v>136</v>
      </c>
      <c r="AM71" s="24" t="s">
        <v>156</v>
      </c>
      <c r="AN71" s="24" t="s">
        <v>136</v>
      </c>
      <c r="AO71" s="24" t="s">
        <v>136</v>
      </c>
      <c r="AP71" s="24" t="s">
        <v>136</v>
      </c>
      <c r="AQ71" s="24" t="s">
        <v>136</v>
      </c>
      <c r="BF71" s="24" t="s">
        <v>346</v>
      </c>
      <c r="BG71" s="24" t="s">
        <v>156</v>
      </c>
      <c r="BH71" s="24" t="s">
        <v>932</v>
      </c>
      <c r="BI71" s="24" t="s">
        <v>381</v>
      </c>
      <c r="BJ71" s="24" t="s">
        <v>156</v>
      </c>
      <c r="BK71" s="24" t="s">
        <v>221</v>
      </c>
      <c r="BL71" s="24" t="s">
        <v>509</v>
      </c>
      <c r="BM71" s="24" t="s">
        <v>387</v>
      </c>
      <c r="BN71" s="24" t="s">
        <v>933</v>
      </c>
      <c r="BO71" s="24" t="s">
        <v>156</v>
      </c>
      <c r="BR71" s="24" t="s">
        <v>271</v>
      </c>
      <c r="BS71" s="24" t="s">
        <v>518</v>
      </c>
      <c r="BT71" s="24" t="s">
        <v>227</v>
      </c>
      <c r="CB71" s="24" t="s">
        <v>267</v>
      </c>
      <c r="CC71" s="24" t="s">
        <v>150</v>
      </c>
      <c r="CD71" s="24" t="s">
        <v>171</v>
      </c>
      <c r="CE71" s="24" t="s">
        <v>152</v>
      </c>
      <c r="CF71" s="24" t="s">
        <v>243</v>
      </c>
      <c r="CG71" s="24">
        <v>4</v>
      </c>
      <c r="CH71" s="24" t="s">
        <v>286</v>
      </c>
      <c r="CI71" s="24" t="s">
        <v>245</v>
      </c>
      <c r="CJ71" s="24" t="s">
        <v>156</v>
      </c>
      <c r="CK71" s="24" t="s">
        <v>207</v>
      </c>
      <c r="CL71" s="24">
        <v>3</v>
      </c>
      <c r="CM71" s="24">
        <v>3</v>
      </c>
      <c r="CN71" s="24">
        <v>3</v>
      </c>
      <c r="CO71" s="24">
        <v>3</v>
      </c>
      <c r="CP71" s="24">
        <v>4</v>
      </c>
      <c r="CQ71" s="24">
        <v>3</v>
      </c>
      <c r="CR71" s="24">
        <v>2</v>
      </c>
      <c r="CS71" s="24">
        <v>2</v>
      </c>
      <c r="CT71" s="24">
        <v>3</v>
      </c>
      <c r="CU71" s="24">
        <v>1</v>
      </c>
      <c r="CV71" s="24">
        <v>3</v>
      </c>
      <c r="CW71" s="24">
        <v>2</v>
      </c>
      <c r="CX71" s="24">
        <v>2</v>
      </c>
      <c r="CY71" s="24">
        <v>2</v>
      </c>
      <c r="CZ71" s="24">
        <v>2</v>
      </c>
      <c r="DA71" s="24">
        <v>2</v>
      </c>
      <c r="DB71" s="24" t="s">
        <v>934</v>
      </c>
      <c r="DC71" s="24">
        <v>3</v>
      </c>
      <c r="DD71" s="24" t="s">
        <v>744</v>
      </c>
      <c r="DE71" s="24" t="s">
        <v>156</v>
      </c>
      <c r="DJ71" s="24" t="s">
        <v>159</v>
      </c>
      <c r="DK71" s="24" t="s">
        <v>935</v>
      </c>
    </row>
    <row r="72" spans="1:115" ht="22.5" customHeight="1" x14ac:dyDescent="0.2">
      <c r="A72" s="23">
        <v>46065.460114803238</v>
      </c>
      <c r="B72" s="24" t="s">
        <v>936</v>
      </c>
      <c r="C72" s="24">
        <v>0</v>
      </c>
      <c r="D72" s="24" t="s">
        <v>937</v>
      </c>
      <c r="E72" s="24" t="s">
        <v>938</v>
      </c>
      <c r="F72" s="24" t="s">
        <v>128</v>
      </c>
      <c r="G72" s="24">
        <v>59</v>
      </c>
      <c r="H72" s="25" t="s">
        <v>939</v>
      </c>
      <c r="I72" s="24" t="s">
        <v>132</v>
      </c>
      <c r="J72" s="24" t="s">
        <v>133</v>
      </c>
      <c r="K72" s="24" t="s">
        <v>345</v>
      </c>
      <c r="M72" s="24" t="s">
        <v>136</v>
      </c>
      <c r="N72" s="24" t="s">
        <v>240</v>
      </c>
      <c r="O72" s="24" t="s">
        <v>199</v>
      </c>
      <c r="P72" s="24" t="s">
        <v>136</v>
      </c>
      <c r="Q72" s="24" t="s">
        <v>502</v>
      </c>
      <c r="R72" s="24" t="s">
        <v>199</v>
      </c>
      <c r="S72" s="24" t="s">
        <v>266</v>
      </c>
      <c r="T72" s="24" t="s">
        <v>136</v>
      </c>
      <c r="U72" s="24" t="s">
        <v>202</v>
      </c>
      <c r="V72" s="24" t="s">
        <v>199</v>
      </c>
      <c r="AI72" s="24" t="s">
        <v>144</v>
      </c>
      <c r="AJ72" s="24" t="s">
        <v>136</v>
      </c>
      <c r="AK72" s="24" t="s">
        <v>136</v>
      </c>
      <c r="AL72" s="24" t="s">
        <v>136</v>
      </c>
      <c r="AM72" s="24" t="s">
        <v>136</v>
      </c>
      <c r="AN72" s="24" t="s">
        <v>156</v>
      </c>
      <c r="AO72" s="24" t="s">
        <v>136</v>
      </c>
      <c r="AP72" s="24" t="s">
        <v>156</v>
      </c>
      <c r="AQ72" s="24" t="s">
        <v>156</v>
      </c>
      <c r="BN72" s="24" t="s">
        <v>167</v>
      </c>
      <c r="BO72" s="24" t="s">
        <v>136</v>
      </c>
      <c r="BP72" s="24" t="s">
        <v>940</v>
      </c>
      <c r="BQ72" s="24" t="s">
        <v>137</v>
      </c>
      <c r="BR72" s="24" t="s">
        <v>226</v>
      </c>
      <c r="BS72" s="24" t="s">
        <v>147</v>
      </c>
      <c r="BT72" s="24" t="s">
        <v>227</v>
      </c>
      <c r="CB72" s="24" t="s">
        <v>267</v>
      </c>
      <c r="CC72" s="24" t="s">
        <v>242</v>
      </c>
      <c r="CD72" s="24" t="s">
        <v>229</v>
      </c>
      <c r="CE72" s="24" t="s">
        <v>204</v>
      </c>
      <c r="CF72" s="24" t="s">
        <v>153</v>
      </c>
      <c r="CG72" s="24">
        <v>4</v>
      </c>
      <c r="CH72" s="24" t="s">
        <v>244</v>
      </c>
      <c r="CI72" s="24" t="s">
        <v>352</v>
      </c>
      <c r="CJ72" s="24" t="s">
        <v>136</v>
      </c>
      <c r="CK72" s="24" t="s">
        <v>512</v>
      </c>
      <c r="CL72" s="24">
        <v>3</v>
      </c>
      <c r="CM72" s="24">
        <v>4</v>
      </c>
      <c r="CN72" s="24">
        <v>3</v>
      </c>
      <c r="CO72" s="24">
        <v>4</v>
      </c>
      <c r="CP72" s="24">
        <v>4</v>
      </c>
      <c r="CQ72" s="24">
        <v>3</v>
      </c>
      <c r="CR72" s="24">
        <v>3</v>
      </c>
      <c r="CS72" s="24">
        <v>4</v>
      </c>
      <c r="CT72" s="24">
        <v>3</v>
      </c>
      <c r="CU72" s="24">
        <v>3</v>
      </c>
      <c r="CV72" s="24">
        <v>4</v>
      </c>
      <c r="CW72" s="24">
        <v>3</v>
      </c>
      <c r="CX72" s="24">
        <v>3</v>
      </c>
      <c r="CY72" s="24">
        <v>3</v>
      </c>
      <c r="CZ72" s="24">
        <v>3</v>
      </c>
      <c r="DA72" s="24">
        <v>3</v>
      </c>
      <c r="DB72" s="24" t="s">
        <v>295</v>
      </c>
      <c r="DC72" s="24">
        <v>3</v>
      </c>
      <c r="DD72" s="24" t="s">
        <v>643</v>
      </c>
      <c r="DE72" s="24" t="s">
        <v>136</v>
      </c>
      <c r="DF72" s="24">
        <v>2</v>
      </c>
      <c r="DG72" s="24">
        <v>2</v>
      </c>
      <c r="DH72" s="24">
        <v>2</v>
      </c>
      <c r="DI72" s="24" t="s">
        <v>312</v>
      </c>
      <c r="DJ72" s="24" t="s">
        <v>316</v>
      </c>
      <c r="DK72" s="24" t="s">
        <v>941</v>
      </c>
    </row>
    <row r="73" spans="1:115" ht="22.5" customHeight="1" x14ac:dyDescent="0.2">
      <c r="A73" s="23">
        <v>46065.461064236108</v>
      </c>
      <c r="B73" s="24" t="s">
        <v>942</v>
      </c>
      <c r="C73" s="24">
        <v>0</v>
      </c>
      <c r="D73" s="24" t="s">
        <v>943</v>
      </c>
      <c r="E73" s="24" t="s">
        <v>944</v>
      </c>
      <c r="F73" s="24" t="s">
        <v>163</v>
      </c>
      <c r="G73" s="24">
        <v>59</v>
      </c>
      <c r="H73" s="25" t="s">
        <v>945</v>
      </c>
      <c r="I73" s="24" t="s">
        <v>132</v>
      </c>
      <c r="J73" s="24" t="s">
        <v>133</v>
      </c>
      <c r="K73" s="24" t="s">
        <v>135</v>
      </c>
      <c r="M73" s="24" t="s">
        <v>156</v>
      </c>
      <c r="N73" s="24" t="s">
        <v>215</v>
      </c>
      <c r="O73" s="24" t="s">
        <v>216</v>
      </c>
      <c r="P73" s="24" t="s">
        <v>156</v>
      </c>
      <c r="Q73" s="24" t="s">
        <v>215</v>
      </c>
      <c r="R73" s="24" t="s">
        <v>318</v>
      </c>
      <c r="S73" s="24" t="s">
        <v>313</v>
      </c>
      <c r="T73" s="24" t="s">
        <v>136</v>
      </c>
      <c r="U73" s="24" t="s">
        <v>356</v>
      </c>
      <c r="V73" s="24" t="s">
        <v>199</v>
      </c>
      <c r="AI73" s="24" t="s">
        <v>304</v>
      </c>
      <c r="AJ73" s="24" t="s">
        <v>136</v>
      </c>
      <c r="AK73" s="24" t="s">
        <v>136</v>
      </c>
      <c r="AL73" s="24" t="s">
        <v>136</v>
      </c>
      <c r="AM73" s="24" t="s">
        <v>156</v>
      </c>
      <c r="AN73" s="24" t="s">
        <v>136</v>
      </c>
      <c r="AO73" s="24" t="s">
        <v>136</v>
      </c>
      <c r="AP73" s="24" t="s">
        <v>156</v>
      </c>
      <c r="AQ73" s="24" t="s">
        <v>156</v>
      </c>
      <c r="BU73" s="24" t="s">
        <v>346</v>
      </c>
      <c r="BV73" s="24" t="s">
        <v>136</v>
      </c>
      <c r="BW73" s="24" t="s">
        <v>946</v>
      </c>
      <c r="BY73" s="24" t="s">
        <v>306</v>
      </c>
      <c r="BZ73" s="24" t="s">
        <v>307</v>
      </c>
      <c r="CA73" s="24" t="s">
        <v>338</v>
      </c>
      <c r="CB73" s="24" t="s">
        <v>228</v>
      </c>
      <c r="CC73" s="24" t="s">
        <v>150</v>
      </c>
      <c r="CD73" s="24" t="s">
        <v>322</v>
      </c>
      <c r="CE73" s="24" t="s">
        <v>152</v>
      </c>
      <c r="CF73" s="24" t="s">
        <v>243</v>
      </c>
      <c r="CG73" s="24">
        <v>4</v>
      </c>
      <c r="CH73" s="24" t="s">
        <v>172</v>
      </c>
      <c r="CI73" s="24" t="s">
        <v>398</v>
      </c>
      <c r="CJ73" s="24" t="s">
        <v>156</v>
      </c>
      <c r="CK73" s="24" t="s">
        <v>231</v>
      </c>
      <c r="CL73" s="24">
        <v>3</v>
      </c>
      <c r="CM73" s="24">
        <v>3</v>
      </c>
      <c r="CN73" s="24">
        <v>3</v>
      </c>
      <c r="CO73" s="24">
        <v>4</v>
      </c>
      <c r="CP73" s="24">
        <v>2</v>
      </c>
      <c r="CQ73" s="24">
        <v>3</v>
      </c>
      <c r="CR73" s="24">
        <v>3</v>
      </c>
      <c r="CS73" s="24">
        <v>4</v>
      </c>
      <c r="CT73" s="24">
        <v>3</v>
      </c>
      <c r="CU73" s="24">
        <v>3</v>
      </c>
      <c r="CV73" s="24">
        <v>3</v>
      </c>
      <c r="CW73" s="24">
        <v>3</v>
      </c>
      <c r="CX73" s="24">
        <v>3</v>
      </c>
      <c r="CY73" s="24">
        <v>3</v>
      </c>
      <c r="CZ73" s="24">
        <v>3</v>
      </c>
      <c r="DA73" s="24">
        <v>3</v>
      </c>
      <c r="DB73" s="24" t="s">
        <v>247</v>
      </c>
      <c r="DC73" s="24">
        <v>4</v>
      </c>
      <c r="DD73" s="24" t="s">
        <v>157</v>
      </c>
      <c r="DE73" s="24" t="s">
        <v>136</v>
      </c>
      <c r="DF73" s="24">
        <v>4</v>
      </c>
      <c r="DG73" s="24">
        <v>3</v>
      </c>
      <c r="DH73" s="24">
        <v>3</v>
      </c>
      <c r="DI73" s="24" t="s">
        <v>859</v>
      </c>
      <c r="DJ73" s="24" t="s">
        <v>159</v>
      </c>
      <c r="DK73" s="24" t="s">
        <v>947</v>
      </c>
    </row>
    <row r="74" spans="1:115" ht="22.5" customHeight="1" x14ac:dyDescent="0.2">
      <c r="A74" s="23">
        <v>46065.461577476854</v>
      </c>
      <c r="B74" s="24" t="s">
        <v>948</v>
      </c>
      <c r="C74" s="24">
        <v>0</v>
      </c>
      <c r="D74" s="24" t="s">
        <v>949</v>
      </c>
      <c r="E74" s="24" t="s">
        <v>950</v>
      </c>
      <c r="F74" s="24" t="s">
        <v>163</v>
      </c>
      <c r="G74" s="24">
        <v>60</v>
      </c>
      <c r="H74" s="25" t="s">
        <v>951</v>
      </c>
      <c r="I74" s="24" t="s">
        <v>194</v>
      </c>
      <c r="J74" s="24" t="s">
        <v>195</v>
      </c>
      <c r="K74" s="24" t="s">
        <v>196</v>
      </c>
      <c r="L74" s="24" t="s">
        <v>239</v>
      </c>
      <c r="M74" s="24" t="s">
        <v>136</v>
      </c>
      <c r="N74" s="24" t="s">
        <v>240</v>
      </c>
      <c r="O74" s="24" t="s">
        <v>199</v>
      </c>
      <c r="P74" s="24" t="s">
        <v>156</v>
      </c>
      <c r="Q74" s="24" t="s">
        <v>215</v>
      </c>
      <c r="R74" s="24" t="s">
        <v>318</v>
      </c>
      <c r="S74" s="24" t="s">
        <v>266</v>
      </c>
      <c r="T74" s="24" t="s">
        <v>136</v>
      </c>
      <c r="U74" s="24" t="s">
        <v>202</v>
      </c>
      <c r="V74" s="24" t="s">
        <v>199</v>
      </c>
      <c r="AI74" s="24" t="s">
        <v>304</v>
      </c>
      <c r="AJ74" s="24" t="s">
        <v>136</v>
      </c>
      <c r="AK74" s="24" t="s">
        <v>136</v>
      </c>
      <c r="AL74" s="24" t="s">
        <v>136</v>
      </c>
      <c r="AM74" s="24" t="s">
        <v>156</v>
      </c>
      <c r="AN74" s="24" t="s">
        <v>136</v>
      </c>
      <c r="AO74" s="24" t="s">
        <v>136</v>
      </c>
      <c r="AP74" s="24" t="s">
        <v>136</v>
      </c>
      <c r="AQ74" s="24" t="s">
        <v>136</v>
      </c>
      <c r="BU74" s="24" t="s">
        <v>305</v>
      </c>
      <c r="BV74" s="24" t="s">
        <v>136</v>
      </c>
      <c r="BW74" s="24" t="s">
        <v>952</v>
      </c>
      <c r="BX74" s="24" t="s">
        <v>137</v>
      </c>
      <c r="BY74" s="24" t="s">
        <v>536</v>
      </c>
      <c r="BZ74" s="24" t="s">
        <v>307</v>
      </c>
      <c r="CA74" s="24" t="s">
        <v>377</v>
      </c>
      <c r="CB74" s="24" t="s">
        <v>149</v>
      </c>
      <c r="CC74" s="24" t="s">
        <v>150</v>
      </c>
      <c r="CD74" s="24" t="s">
        <v>322</v>
      </c>
      <c r="CE74" s="24" t="s">
        <v>204</v>
      </c>
      <c r="CF74" s="24" t="s">
        <v>153</v>
      </c>
      <c r="CG74" s="24">
        <v>4</v>
      </c>
      <c r="CH74" s="24" t="s">
        <v>172</v>
      </c>
      <c r="CI74" s="24" t="s">
        <v>525</v>
      </c>
      <c r="CJ74" s="24" t="s">
        <v>136</v>
      </c>
      <c r="CK74" s="24" t="s">
        <v>328</v>
      </c>
      <c r="CL74" s="24">
        <v>4</v>
      </c>
      <c r="CM74" s="24">
        <v>4</v>
      </c>
      <c r="CN74" s="24">
        <v>4</v>
      </c>
      <c r="CO74" s="24">
        <v>4</v>
      </c>
      <c r="CP74" s="24">
        <v>4</v>
      </c>
      <c r="CQ74" s="24">
        <v>3</v>
      </c>
      <c r="CR74" s="24">
        <v>4</v>
      </c>
      <c r="CS74" s="24">
        <v>4</v>
      </c>
      <c r="CT74" s="24">
        <v>4</v>
      </c>
      <c r="CU74" s="24">
        <v>4</v>
      </c>
      <c r="CV74" s="24">
        <v>4</v>
      </c>
      <c r="CW74" s="24">
        <v>4</v>
      </c>
      <c r="CX74" s="24">
        <v>3</v>
      </c>
      <c r="CY74" s="24">
        <v>4</v>
      </c>
      <c r="CZ74" s="24">
        <v>4</v>
      </c>
      <c r="DA74" s="24">
        <v>4</v>
      </c>
      <c r="DB74" s="24" t="s">
        <v>366</v>
      </c>
      <c r="DC74" s="24">
        <v>4</v>
      </c>
      <c r="DD74" s="24" t="s">
        <v>363</v>
      </c>
      <c r="DE74" s="24" t="s">
        <v>136</v>
      </c>
      <c r="DF74" s="24">
        <v>4</v>
      </c>
      <c r="DG74" s="24">
        <v>4</v>
      </c>
      <c r="DH74" s="24">
        <v>4</v>
      </c>
      <c r="DI74" s="24" t="s">
        <v>953</v>
      </c>
      <c r="DJ74" s="24" t="s">
        <v>188</v>
      </c>
      <c r="DK74" s="24" t="s">
        <v>954</v>
      </c>
    </row>
    <row r="75" spans="1:115" ht="22.5" customHeight="1" x14ac:dyDescent="0.2">
      <c r="A75" s="23">
        <v>46065.461909039353</v>
      </c>
      <c r="B75" s="24" t="s">
        <v>955</v>
      </c>
      <c r="C75" s="24">
        <v>0</v>
      </c>
      <c r="D75" s="24" t="s">
        <v>956</v>
      </c>
      <c r="E75" s="24" t="s">
        <v>957</v>
      </c>
      <c r="F75" s="24" t="s">
        <v>163</v>
      </c>
      <c r="G75" s="24">
        <v>60</v>
      </c>
      <c r="H75" s="25" t="s">
        <v>958</v>
      </c>
      <c r="I75" s="24" t="s">
        <v>194</v>
      </c>
      <c r="J75" s="24" t="s">
        <v>384</v>
      </c>
      <c r="K75" s="24" t="s">
        <v>135</v>
      </c>
      <c r="M75" s="24" t="s">
        <v>136</v>
      </c>
      <c r="N75" s="24" t="s">
        <v>240</v>
      </c>
      <c r="O75" s="24" t="s">
        <v>199</v>
      </c>
      <c r="P75" s="24" t="s">
        <v>136</v>
      </c>
      <c r="Q75" s="24" t="s">
        <v>502</v>
      </c>
      <c r="R75" s="24" t="s">
        <v>199</v>
      </c>
      <c r="S75" s="24" t="s">
        <v>266</v>
      </c>
      <c r="T75" s="24" t="s">
        <v>136</v>
      </c>
      <c r="U75" s="24" t="s">
        <v>693</v>
      </c>
      <c r="V75" s="24" t="s">
        <v>199</v>
      </c>
      <c r="AI75" s="24" t="s">
        <v>144</v>
      </c>
      <c r="AJ75" s="24" t="s">
        <v>136</v>
      </c>
      <c r="AK75" s="24" t="s">
        <v>136</v>
      </c>
      <c r="AL75" s="24" t="s">
        <v>136</v>
      </c>
      <c r="AM75" s="24" t="s">
        <v>156</v>
      </c>
      <c r="AN75" s="24" t="s">
        <v>136</v>
      </c>
      <c r="AO75" s="24" t="s">
        <v>136</v>
      </c>
      <c r="AP75" s="24" t="s">
        <v>136</v>
      </c>
      <c r="AQ75" s="24" t="s">
        <v>136</v>
      </c>
      <c r="BN75" s="24" t="s">
        <v>167</v>
      </c>
      <c r="BO75" s="24" t="s">
        <v>136</v>
      </c>
      <c r="BP75" s="24" t="s">
        <v>959</v>
      </c>
      <c r="BQ75" s="24" t="s">
        <v>960</v>
      </c>
      <c r="BR75" s="24" t="s">
        <v>146</v>
      </c>
      <c r="BS75" s="24" t="s">
        <v>518</v>
      </c>
      <c r="BT75" s="24" t="s">
        <v>148</v>
      </c>
      <c r="CB75" s="24" t="s">
        <v>149</v>
      </c>
      <c r="CC75" s="24" t="s">
        <v>242</v>
      </c>
      <c r="CD75" s="24" t="s">
        <v>322</v>
      </c>
      <c r="CE75" s="24" t="s">
        <v>152</v>
      </c>
      <c r="CF75" s="24" t="s">
        <v>273</v>
      </c>
      <c r="CG75" s="24">
        <v>2</v>
      </c>
      <c r="CH75" s="24" t="s">
        <v>481</v>
      </c>
      <c r="CI75" s="24" t="s">
        <v>398</v>
      </c>
      <c r="CJ75" s="24" t="s">
        <v>136</v>
      </c>
      <c r="CK75" s="24" t="s">
        <v>512</v>
      </c>
      <c r="CL75" s="24">
        <v>3</v>
      </c>
      <c r="CM75" s="24">
        <v>3</v>
      </c>
      <c r="CN75" s="24">
        <v>4</v>
      </c>
      <c r="CO75" s="24">
        <v>3</v>
      </c>
      <c r="CP75" s="24">
        <v>4</v>
      </c>
      <c r="CQ75" s="24">
        <v>3</v>
      </c>
      <c r="CR75" s="24">
        <v>3</v>
      </c>
      <c r="CS75" s="24">
        <v>3</v>
      </c>
      <c r="CT75" s="24">
        <v>3</v>
      </c>
      <c r="CU75" s="24">
        <v>3</v>
      </c>
      <c r="CV75" s="24">
        <v>3</v>
      </c>
      <c r="CW75" s="24">
        <v>3</v>
      </c>
      <c r="CX75" s="24">
        <v>3</v>
      </c>
      <c r="CY75" s="24">
        <v>3</v>
      </c>
      <c r="CZ75" s="24">
        <v>3</v>
      </c>
      <c r="DA75" s="24">
        <v>3</v>
      </c>
      <c r="DB75" s="24" t="s">
        <v>247</v>
      </c>
      <c r="DC75" s="24">
        <v>3</v>
      </c>
      <c r="DD75" s="24" t="s">
        <v>924</v>
      </c>
      <c r="DE75" s="24" t="s">
        <v>156</v>
      </c>
      <c r="DJ75" s="24" t="s">
        <v>961</v>
      </c>
      <c r="DK75" s="24" t="s">
        <v>962</v>
      </c>
    </row>
    <row r="76" spans="1:115" ht="22.5" customHeight="1" x14ac:dyDescent="0.2">
      <c r="A76" s="23">
        <v>46065.4626278125</v>
      </c>
      <c r="B76" s="24" t="s">
        <v>963</v>
      </c>
      <c r="C76" s="24">
        <v>0</v>
      </c>
      <c r="D76" s="24" t="s">
        <v>964</v>
      </c>
      <c r="E76" s="24" t="s">
        <v>965</v>
      </c>
      <c r="F76" s="24" t="s">
        <v>128</v>
      </c>
      <c r="G76" s="24">
        <v>60</v>
      </c>
      <c r="H76" s="25" t="s">
        <v>966</v>
      </c>
      <c r="I76" s="24" t="s">
        <v>194</v>
      </c>
      <c r="J76" s="24" t="s">
        <v>301</v>
      </c>
      <c r="K76" s="24" t="s">
        <v>269</v>
      </c>
      <c r="M76" s="24" t="s">
        <v>136</v>
      </c>
      <c r="N76" s="24" t="s">
        <v>264</v>
      </c>
      <c r="O76" s="24" t="s">
        <v>216</v>
      </c>
      <c r="P76" s="24" t="s">
        <v>136</v>
      </c>
      <c r="Q76" s="24" t="s">
        <v>254</v>
      </c>
      <c r="R76" s="24" t="s">
        <v>318</v>
      </c>
      <c r="S76" s="24" t="s">
        <v>544</v>
      </c>
      <c r="T76" s="24" t="s">
        <v>136</v>
      </c>
      <c r="U76" s="24" t="s">
        <v>256</v>
      </c>
      <c r="V76" s="24" t="s">
        <v>899</v>
      </c>
      <c r="AI76" s="24" t="s">
        <v>219</v>
      </c>
      <c r="AJ76" s="24" t="s">
        <v>136</v>
      </c>
      <c r="AK76" s="24" t="s">
        <v>136</v>
      </c>
      <c r="AL76" s="24" t="s">
        <v>136</v>
      </c>
      <c r="AM76" s="24" t="s">
        <v>136</v>
      </c>
      <c r="AN76" s="24" t="s">
        <v>136</v>
      </c>
      <c r="AO76" s="24" t="s">
        <v>136</v>
      </c>
      <c r="AP76" s="24" t="s">
        <v>136</v>
      </c>
      <c r="AQ76" s="24" t="s">
        <v>136</v>
      </c>
      <c r="BF76" s="24" t="s">
        <v>305</v>
      </c>
      <c r="BG76" s="24" t="s">
        <v>136</v>
      </c>
      <c r="BH76" s="24" t="s">
        <v>771</v>
      </c>
      <c r="BI76" s="24" t="s">
        <v>771</v>
      </c>
      <c r="BJ76" s="24" t="s">
        <v>136</v>
      </c>
      <c r="BK76" s="24" t="s">
        <v>221</v>
      </c>
      <c r="BL76" s="24" t="s">
        <v>509</v>
      </c>
      <c r="BM76" s="24" t="s">
        <v>967</v>
      </c>
      <c r="BN76" s="24" t="s">
        <v>933</v>
      </c>
      <c r="BO76" s="24" t="s">
        <v>136</v>
      </c>
      <c r="BP76" s="24" t="s">
        <v>771</v>
      </c>
      <c r="BQ76" s="24" t="s">
        <v>771</v>
      </c>
      <c r="BR76" s="24" t="s">
        <v>168</v>
      </c>
      <c r="BS76" s="24" t="s">
        <v>169</v>
      </c>
      <c r="BT76" s="24" t="s">
        <v>170</v>
      </c>
      <c r="CB76" s="24" t="s">
        <v>228</v>
      </c>
      <c r="CC76" s="24" t="s">
        <v>351</v>
      </c>
      <c r="CD76" s="24" t="s">
        <v>322</v>
      </c>
      <c r="CE76" s="24" t="s">
        <v>152</v>
      </c>
      <c r="CF76" s="24" t="s">
        <v>153</v>
      </c>
      <c r="CG76" s="24">
        <v>2</v>
      </c>
      <c r="CH76" s="24" t="s">
        <v>434</v>
      </c>
      <c r="CI76" s="24" t="s">
        <v>155</v>
      </c>
      <c r="CJ76" s="24" t="s">
        <v>156</v>
      </c>
      <c r="CK76" s="24" t="s">
        <v>328</v>
      </c>
      <c r="CL76" s="24">
        <v>3</v>
      </c>
      <c r="CM76" s="24">
        <v>3</v>
      </c>
      <c r="CN76" s="24">
        <v>3</v>
      </c>
      <c r="CO76" s="24">
        <v>3</v>
      </c>
      <c r="CP76" s="24">
        <v>4</v>
      </c>
      <c r="CQ76" s="24">
        <v>3</v>
      </c>
      <c r="CR76" s="24">
        <v>3</v>
      </c>
      <c r="CS76" s="24">
        <v>3</v>
      </c>
      <c r="CT76" s="24">
        <v>4</v>
      </c>
      <c r="CU76" s="24">
        <v>4</v>
      </c>
      <c r="CV76" s="24">
        <v>3</v>
      </c>
      <c r="CW76" s="24">
        <v>3</v>
      </c>
      <c r="CX76" s="24">
        <v>3</v>
      </c>
      <c r="CY76" s="24">
        <v>3</v>
      </c>
      <c r="CZ76" s="24">
        <v>3</v>
      </c>
      <c r="DA76" s="24">
        <v>3</v>
      </c>
      <c r="DB76" s="24" t="s">
        <v>968</v>
      </c>
      <c r="DC76" s="24">
        <v>3</v>
      </c>
      <c r="DD76" s="24" t="s">
        <v>411</v>
      </c>
      <c r="DE76" s="24" t="s">
        <v>156</v>
      </c>
      <c r="DJ76" s="24" t="s">
        <v>435</v>
      </c>
      <c r="DK76" s="24" t="s">
        <v>969</v>
      </c>
    </row>
    <row r="77" spans="1:115" ht="22.5" customHeight="1" x14ac:dyDescent="0.2">
      <c r="A77" s="23">
        <v>46065.463227928238</v>
      </c>
      <c r="B77" s="24" t="s">
        <v>970</v>
      </c>
      <c r="C77" s="24">
        <v>0</v>
      </c>
      <c r="D77" s="24" t="s">
        <v>971</v>
      </c>
      <c r="E77" s="24" t="s">
        <v>972</v>
      </c>
      <c r="F77" s="24" t="s">
        <v>128</v>
      </c>
      <c r="G77" s="24">
        <v>61</v>
      </c>
      <c r="H77" s="25" t="s">
        <v>973</v>
      </c>
      <c r="I77" s="24" t="s">
        <v>194</v>
      </c>
      <c r="J77" s="24" t="s">
        <v>301</v>
      </c>
      <c r="K77" s="24" t="s">
        <v>135</v>
      </c>
      <c r="M77" s="24" t="s">
        <v>136</v>
      </c>
      <c r="N77" s="24" t="s">
        <v>264</v>
      </c>
      <c r="O77" s="24" t="s">
        <v>216</v>
      </c>
      <c r="P77" s="24" t="s">
        <v>136</v>
      </c>
      <c r="Q77" s="24" t="s">
        <v>254</v>
      </c>
      <c r="R77" s="24" t="s">
        <v>318</v>
      </c>
      <c r="S77" s="24" t="s">
        <v>544</v>
      </c>
      <c r="T77" s="24" t="s">
        <v>136</v>
      </c>
      <c r="U77" s="24" t="s">
        <v>256</v>
      </c>
      <c r="V77" s="24" t="s">
        <v>899</v>
      </c>
      <c r="AI77" s="24" t="s">
        <v>144</v>
      </c>
      <c r="AJ77" s="24" t="s">
        <v>136</v>
      </c>
      <c r="AK77" s="24" t="s">
        <v>136</v>
      </c>
      <c r="AL77" s="24" t="s">
        <v>136</v>
      </c>
      <c r="AM77" s="24" t="s">
        <v>136</v>
      </c>
      <c r="AN77" s="24" t="s">
        <v>136</v>
      </c>
      <c r="AO77" s="24" t="s">
        <v>136</v>
      </c>
      <c r="AP77" s="24" t="s">
        <v>136</v>
      </c>
      <c r="AQ77" s="24" t="s">
        <v>136</v>
      </c>
      <c r="BN77" s="24" t="s">
        <v>305</v>
      </c>
      <c r="BO77" s="24" t="s">
        <v>136</v>
      </c>
      <c r="BP77" s="24" t="s">
        <v>137</v>
      </c>
      <c r="BQ77" s="24" t="s">
        <v>156</v>
      </c>
      <c r="BR77" s="24" t="s">
        <v>168</v>
      </c>
      <c r="BS77" s="24" t="s">
        <v>169</v>
      </c>
      <c r="BT77" s="24" t="s">
        <v>170</v>
      </c>
      <c r="CB77" s="24" t="s">
        <v>267</v>
      </c>
      <c r="CC77" s="24" t="s">
        <v>150</v>
      </c>
      <c r="CD77" s="24" t="s">
        <v>171</v>
      </c>
      <c r="CE77" s="24" t="s">
        <v>152</v>
      </c>
      <c r="CF77" s="24" t="s">
        <v>273</v>
      </c>
      <c r="CG77" s="24">
        <v>2</v>
      </c>
      <c r="CH77" s="24" t="s">
        <v>172</v>
      </c>
      <c r="CI77" s="24" t="s">
        <v>230</v>
      </c>
      <c r="CJ77" s="24" t="s">
        <v>136</v>
      </c>
      <c r="CK77" s="24" t="s">
        <v>231</v>
      </c>
      <c r="CL77" s="24">
        <v>2</v>
      </c>
      <c r="CM77" s="24">
        <v>1</v>
      </c>
      <c r="CN77" s="24">
        <v>3</v>
      </c>
      <c r="CO77" s="24">
        <v>3</v>
      </c>
      <c r="CP77" s="24">
        <v>3</v>
      </c>
      <c r="CQ77" s="24">
        <v>2</v>
      </c>
      <c r="CR77" s="24">
        <v>3</v>
      </c>
      <c r="CS77" s="24">
        <v>3</v>
      </c>
      <c r="CT77" s="24">
        <v>2</v>
      </c>
      <c r="CU77" s="24">
        <v>3</v>
      </c>
      <c r="CV77" s="24">
        <v>3</v>
      </c>
      <c r="CW77" s="24">
        <v>3</v>
      </c>
      <c r="CX77" s="24">
        <v>2</v>
      </c>
      <c r="CY77" s="24">
        <v>3</v>
      </c>
      <c r="CZ77" s="24">
        <v>3</v>
      </c>
      <c r="DA77" s="24">
        <v>2</v>
      </c>
      <c r="DB77" s="24" t="s">
        <v>974</v>
      </c>
      <c r="DC77" s="24">
        <v>4</v>
      </c>
      <c r="DD77" s="24" t="s">
        <v>343</v>
      </c>
      <c r="DE77" s="24" t="s">
        <v>156</v>
      </c>
      <c r="DJ77" s="24" t="s">
        <v>188</v>
      </c>
      <c r="DK77" s="24" t="s">
        <v>975</v>
      </c>
    </row>
    <row r="78" spans="1:115" ht="22.5" customHeight="1" x14ac:dyDescent="0.2">
      <c r="A78" s="23">
        <v>46065.464443564815</v>
      </c>
      <c r="B78" s="24" t="s">
        <v>976</v>
      </c>
      <c r="C78" s="24">
        <v>0</v>
      </c>
      <c r="D78" s="24" t="s">
        <v>977</v>
      </c>
      <c r="E78" s="24" t="s">
        <v>978</v>
      </c>
      <c r="F78" s="24" t="s">
        <v>163</v>
      </c>
      <c r="G78" s="24">
        <v>61</v>
      </c>
      <c r="H78" s="25" t="s">
        <v>979</v>
      </c>
      <c r="I78" s="24" t="s">
        <v>275</v>
      </c>
      <c r="J78" s="24" t="s">
        <v>344</v>
      </c>
      <c r="K78" s="24" t="s">
        <v>135</v>
      </c>
      <c r="M78" s="24" t="s">
        <v>136</v>
      </c>
      <c r="N78" s="24" t="s">
        <v>264</v>
      </c>
      <c r="O78" s="24" t="s">
        <v>199</v>
      </c>
      <c r="P78" s="24" t="s">
        <v>156</v>
      </c>
      <c r="Q78" s="24" t="s">
        <v>254</v>
      </c>
      <c r="R78" s="24" t="s">
        <v>318</v>
      </c>
      <c r="S78" s="24" t="s">
        <v>544</v>
      </c>
      <c r="T78" s="24" t="s">
        <v>136</v>
      </c>
      <c r="U78" s="24" t="s">
        <v>241</v>
      </c>
      <c r="V78" s="24" t="s">
        <v>199</v>
      </c>
      <c r="AI78" s="24" t="s">
        <v>203</v>
      </c>
      <c r="AJ78" s="24" t="s">
        <v>136</v>
      </c>
      <c r="AK78" s="24" t="s">
        <v>136</v>
      </c>
      <c r="AL78" s="24" t="s">
        <v>136</v>
      </c>
      <c r="AM78" s="24" t="s">
        <v>136</v>
      </c>
      <c r="AN78" s="24" t="s">
        <v>136</v>
      </c>
      <c r="AO78" s="24" t="s">
        <v>136</v>
      </c>
      <c r="AP78" s="24" t="s">
        <v>136</v>
      </c>
      <c r="AQ78" s="24" t="s">
        <v>136</v>
      </c>
      <c r="CB78" s="24" t="s">
        <v>149</v>
      </c>
      <c r="CC78" s="24" t="s">
        <v>150</v>
      </c>
      <c r="CD78" s="24" t="s">
        <v>171</v>
      </c>
      <c r="CE78" s="24" t="s">
        <v>152</v>
      </c>
      <c r="CF78" s="24" t="s">
        <v>273</v>
      </c>
      <c r="CG78" s="24">
        <v>1</v>
      </c>
      <c r="CH78" s="24" t="s">
        <v>154</v>
      </c>
      <c r="CI78" s="24" t="s">
        <v>423</v>
      </c>
      <c r="CJ78" s="24" t="s">
        <v>136</v>
      </c>
      <c r="CK78" s="24" t="s">
        <v>231</v>
      </c>
      <c r="CL78" s="24">
        <v>3</v>
      </c>
      <c r="CM78" s="24">
        <v>3</v>
      </c>
      <c r="CN78" s="24">
        <v>3</v>
      </c>
      <c r="CO78" s="24">
        <v>3</v>
      </c>
      <c r="CP78" s="24">
        <v>3</v>
      </c>
      <c r="CQ78" s="24">
        <v>3</v>
      </c>
      <c r="CR78" s="24">
        <v>3</v>
      </c>
      <c r="CS78" s="24">
        <v>3</v>
      </c>
      <c r="CT78" s="24">
        <v>3</v>
      </c>
      <c r="CU78" s="24">
        <v>3</v>
      </c>
      <c r="CV78" s="24">
        <v>3</v>
      </c>
      <c r="CW78" s="24">
        <v>3</v>
      </c>
      <c r="CX78" s="24">
        <v>3</v>
      </c>
      <c r="CY78" s="24">
        <v>3</v>
      </c>
      <c r="CZ78" s="24">
        <v>3</v>
      </c>
      <c r="DA78" s="24">
        <v>3</v>
      </c>
      <c r="DB78" s="24" t="s">
        <v>968</v>
      </c>
      <c r="DC78" s="24">
        <v>4</v>
      </c>
      <c r="DD78" s="24" t="s">
        <v>663</v>
      </c>
      <c r="DE78" s="24" t="s">
        <v>156</v>
      </c>
      <c r="DJ78" s="24" t="s">
        <v>435</v>
      </c>
      <c r="DK78" s="24" t="s">
        <v>980</v>
      </c>
    </row>
    <row r="79" spans="1:115" ht="22.5" customHeight="1" x14ac:dyDescent="0.2">
      <c r="A79" s="23">
        <v>46065.464447766208</v>
      </c>
      <c r="B79" s="24" t="s">
        <v>981</v>
      </c>
      <c r="C79" s="24">
        <v>0</v>
      </c>
      <c r="D79" s="24" t="s">
        <v>982</v>
      </c>
      <c r="E79" s="24" t="s">
        <v>983</v>
      </c>
      <c r="F79" s="24" t="s">
        <v>163</v>
      </c>
      <c r="G79" s="24">
        <v>61</v>
      </c>
      <c r="H79" s="25" t="s">
        <v>984</v>
      </c>
      <c r="I79" s="24" t="s">
        <v>194</v>
      </c>
      <c r="J79" s="24" t="s">
        <v>384</v>
      </c>
      <c r="K79" s="24" t="s">
        <v>269</v>
      </c>
      <c r="M79" s="24" t="s">
        <v>136</v>
      </c>
      <c r="N79" s="24" t="s">
        <v>264</v>
      </c>
      <c r="O79" s="24" t="s">
        <v>216</v>
      </c>
      <c r="P79" s="24" t="s">
        <v>136</v>
      </c>
      <c r="Q79" s="24" t="s">
        <v>254</v>
      </c>
      <c r="R79" s="24" t="s">
        <v>270</v>
      </c>
      <c r="S79" s="24" t="s">
        <v>544</v>
      </c>
      <c r="T79" s="24" t="s">
        <v>136</v>
      </c>
      <c r="U79" s="24" t="s">
        <v>294</v>
      </c>
      <c r="V79" s="24" t="s">
        <v>985</v>
      </c>
      <c r="AI79" s="24" t="s">
        <v>219</v>
      </c>
      <c r="AJ79" s="24" t="s">
        <v>136</v>
      </c>
      <c r="AK79" s="24" t="s">
        <v>136</v>
      </c>
      <c r="AL79" s="24" t="s">
        <v>136</v>
      </c>
      <c r="AM79" s="24" t="s">
        <v>136</v>
      </c>
      <c r="AN79" s="24" t="s">
        <v>136</v>
      </c>
      <c r="AO79" s="24" t="s">
        <v>156</v>
      </c>
      <c r="AP79" s="24" t="s">
        <v>136</v>
      </c>
      <c r="AQ79" s="24" t="s">
        <v>136</v>
      </c>
      <c r="BF79" s="24" t="s">
        <v>346</v>
      </c>
      <c r="BG79" s="24" t="s">
        <v>136</v>
      </c>
      <c r="BH79" s="24" t="s">
        <v>771</v>
      </c>
      <c r="BI79" s="24" t="s">
        <v>771</v>
      </c>
      <c r="BJ79" s="24" t="s">
        <v>136</v>
      </c>
      <c r="BK79" s="24" t="s">
        <v>713</v>
      </c>
      <c r="BL79" s="24" t="s">
        <v>986</v>
      </c>
      <c r="BM79" s="24" t="s">
        <v>223</v>
      </c>
      <c r="BN79" s="24" t="s">
        <v>649</v>
      </c>
      <c r="BO79" s="24" t="s">
        <v>136</v>
      </c>
      <c r="BP79" s="24" t="s">
        <v>771</v>
      </c>
      <c r="BQ79" s="24" t="s">
        <v>987</v>
      </c>
      <c r="BR79" s="24" t="s">
        <v>168</v>
      </c>
      <c r="BS79" s="24" t="s">
        <v>518</v>
      </c>
      <c r="BT79" s="24" t="s">
        <v>227</v>
      </c>
      <c r="CB79" s="24" t="s">
        <v>267</v>
      </c>
      <c r="CC79" s="24" t="s">
        <v>150</v>
      </c>
      <c r="CD79" s="24" t="s">
        <v>171</v>
      </c>
      <c r="CE79" s="24" t="s">
        <v>204</v>
      </c>
      <c r="CF79" s="24" t="s">
        <v>243</v>
      </c>
      <c r="CG79" s="24">
        <v>3</v>
      </c>
      <c r="CH79" s="24" t="s">
        <v>434</v>
      </c>
      <c r="CI79" s="24" t="s">
        <v>865</v>
      </c>
      <c r="CJ79" s="24" t="s">
        <v>136</v>
      </c>
      <c r="CK79" s="24" t="s">
        <v>231</v>
      </c>
      <c r="CL79" s="24">
        <v>1</v>
      </c>
      <c r="CM79" s="24">
        <v>1</v>
      </c>
      <c r="CN79" s="24">
        <v>2</v>
      </c>
      <c r="CO79" s="24">
        <v>4</v>
      </c>
      <c r="CP79" s="24">
        <v>5</v>
      </c>
      <c r="CQ79" s="24">
        <v>4</v>
      </c>
      <c r="CR79" s="24">
        <v>4</v>
      </c>
      <c r="CS79" s="24">
        <v>2</v>
      </c>
      <c r="CT79" s="24">
        <v>4</v>
      </c>
      <c r="CU79" s="24">
        <v>3</v>
      </c>
      <c r="CV79" s="24">
        <v>3</v>
      </c>
      <c r="CW79" s="24">
        <v>4</v>
      </c>
      <c r="CX79" s="24">
        <v>4</v>
      </c>
      <c r="CY79" s="24">
        <v>4</v>
      </c>
      <c r="CZ79" s="24">
        <v>4</v>
      </c>
      <c r="DA79" s="24">
        <v>3</v>
      </c>
      <c r="DB79" s="24" t="s">
        <v>988</v>
      </c>
      <c r="DC79" s="24">
        <v>1</v>
      </c>
      <c r="DD79" s="24" t="s">
        <v>989</v>
      </c>
      <c r="DE79" s="24" t="s">
        <v>136</v>
      </c>
      <c r="DF79" s="24">
        <v>2</v>
      </c>
      <c r="DG79" s="24">
        <v>2</v>
      </c>
      <c r="DH79" s="24">
        <v>4</v>
      </c>
      <c r="DI79" s="24" t="s">
        <v>538</v>
      </c>
      <c r="DJ79" s="24" t="s">
        <v>442</v>
      </c>
      <c r="DK79" s="24" t="s">
        <v>771</v>
      </c>
    </row>
    <row r="80" spans="1:115" ht="22.5" customHeight="1" x14ac:dyDescent="0.2">
      <c r="A80" s="23">
        <v>46065.465007824074</v>
      </c>
      <c r="B80" s="24" t="s">
        <v>990</v>
      </c>
      <c r="C80" s="24">
        <v>0</v>
      </c>
      <c r="D80" s="24" t="s">
        <v>991</v>
      </c>
      <c r="E80" s="24" t="s">
        <v>992</v>
      </c>
      <c r="F80" s="24" t="s">
        <v>128</v>
      </c>
      <c r="G80" s="24">
        <v>61</v>
      </c>
      <c r="H80" s="25" t="s">
        <v>993</v>
      </c>
      <c r="I80" s="24" t="s">
        <v>275</v>
      </c>
      <c r="J80" s="24" t="s">
        <v>133</v>
      </c>
      <c r="K80" s="24" t="s">
        <v>135</v>
      </c>
      <c r="M80" s="24" t="s">
        <v>136</v>
      </c>
      <c r="N80" s="24" t="s">
        <v>425</v>
      </c>
      <c r="O80" s="24" t="s">
        <v>199</v>
      </c>
      <c r="P80" s="24" t="s">
        <v>156</v>
      </c>
      <c r="Q80" s="24" t="s">
        <v>215</v>
      </c>
      <c r="R80" s="24" t="s">
        <v>270</v>
      </c>
      <c r="S80" s="24" t="s">
        <v>255</v>
      </c>
      <c r="T80" s="24" t="s">
        <v>136</v>
      </c>
      <c r="U80" s="24" t="s">
        <v>241</v>
      </c>
      <c r="V80" s="24" t="s">
        <v>199</v>
      </c>
      <c r="AI80" s="24" t="s">
        <v>304</v>
      </c>
      <c r="AJ80" s="24" t="s">
        <v>136</v>
      </c>
      <c r="AK80" s="24" t="s">
        <v>156</v>
      </c>
      <c r="AL80" s="24" t="s">
        <v>136</v>
      </c>
      <c r="AM80" s="24" t="s">
        <v>156</v>
      </c>
      <c r="AN80" s="24" t="s">
        <v>136</v>
      </c>
      <c r="AO80" s="24" t="s">
        <v>136</v>
      </c>
      <c r="AP80" s="24" t="s">
        <v>136</v>
      </c>
      <c r="AQ80" s="24" t="s">
        <v>136</v>
      </c>
      <c r="BU80" s="24" t="s">
        <v>167</v>
      </c>
      <c r="BV80" s="24" t="s">
        <v>156</v>
      </c>
      <c r="BX80" s="24" t="s">
        <v>994</v>
      </c>
      <c r="BY80" s="24" t="s">
        <v>306</v>
      </c>
      <c r="BZ80" s="24" t="s">
        <v>337</v>
      </c>
      <c r="CA80" s="24" t="s">
        <v>338</v>
      </c>
      <c r="CB80" s="24" t="s">
        <v>267</v>
      </c>
      <c r="CC80" s="24" t="s">
        <v>150</v>
      </c>
      <c r="CD80" s="24" t="s">
        <v>171</v>
      </c>
      <c r="CE80" s="24" t="s">
        <v>152</v>
      </c>
      <c r="CF80" s="24" t="s">
        <v>153</v>
      </c>
      <c r="CG80" s="24">
        <v>4</v>
      </c>
      <c r="CH80" s="24" t="s">
        <v>286</v>
      </c>
      <c r="CI80" s="24" t="s">
        <v>365</v>
      </c>
      <c r="CJ80" s="24" t="s">
        <v>136</v>
      </c>
      <c r="CK80" s="24" t="s">
        <v>362</v>
      </c>
      <c r="CL80" s="24">
        <v>3</v>
      </c>
      <c r="CM80" s="24">
        <v>4</v>
      </c>
      <c r="CN80" s="24">
        <v>4</v>
      </c>
      <c r="CO80" s="24">
        <v>4</v>
      </c>
      <c r="CP80" s="24">
        <v>5</v>
      </c>
      <c r="CQ80" s="24">
        <v>4</v>
      </c>
      <c r="CR80" s="24">
        <v>4</v>
      </c>
      <c r="CS80" s="24">
        <v>4</v>
      </c>
      <c r="CT80" s="24">
        <v>4</v>
      </c>
      <c r="CU80" s="24">
        <v>4</v>
      </c>
      <c r="CV80" s="24">
        <v>4</v>
      </c>
      <c r="CW80" s="24">
        <v>4</v>
      </c>
      <c r="CX80" s="24">
        <v>4</v>
      </c>
      <c r="CY80" s="24">
        <v>4</v>
      </c>
      <c r="CZ80" s="24">
        <v>4</v>
      </c>
      <c r="DA80" s="24">
        <v>4</v>
      </c>
      <c r="DB80" s="24" t="s">
        <v>208</v>
      </c>
      <c r="DC80" s="24">
        <v>4</v>
      </c>
      <c r="DD80" s="24" t="s">
        <v>995</v>
      </c>
      <c r="DE80" s="24" t="s">
        <v>156</v>
      </c>
      <c r="DJ80" s="24" t="s">
        <v>378</v>
      </c>
      <c r="DK80" s="24" t="s">
        <v>996</v>
      </c>
    </row>
    <row r="81" spans="1:115" ht="22.5" customHeight="1" x14ac:dyDescent="0.2">
      <c r="A81" s="23">
        <v>46065.465089826394</v>
      </c>
      <c r="B81" s="24" t="s">
        <v>997</v>
      </c>
      <c r="C81" s="24">
        <v>0</v>
      </c>
      <c r="D81" s="24" t="s">
        <v>998</v>
      </c>
      <c r="E81" s="24" t="s">
        <v>999</v>
      </c>
      <c r="F81" s="24" t="s">
        <v>128</v>
      </c>
      <c r="G81" s="24">
        <v>61</v>
      </c>
      <c r="H81" s="25" t="s">
        <v>1000</v>
      </c>
      <c r="I81" s="24" t="s">
        <v>194</v>
      </c>
      <c r="J81" s="24" t="s">
        <v>133</v>
      </c>
      <c r="K81" s="24" t="s">
        <v>135</v>
      </c>
      <c r="M81" s="24" t="s">
        <v>136</v>
      </c>
      <c r="N81" s="24" t="s">
        <v>264</v>
      </c>
      <c r="O81" s="24" t="s">
        <v>199</v>
      </c>
      <c r="P81" s="24" t="s">
        <v>136</v>
      </c>
      <c r="Q81" s="24" t="s">
        <v>254</v>
      </c>
      <c r="R81" s="24" t="s">
        <v>318</v>
      </c>
      <c r="S81" s="24" t="s">
        <v>544</v>
      </c>
      <c r="T81" s="24" t="s">
        <v>136</v>
      </c>
      <c r="U81" s="24" t="s">
        <v>256</v>
      </c>
      <c r="V81" s="24" t="s">
        <v>426</v>
      </c>
      <c r="AI81" s="24" t="s">
        <v>304</v>
      </c>
      <c r="AJ81" s="24" t="s">
        <v>136</v>
      </c>
      <c r="AK81" s="24" t="s">
        <v>136</v>
      </c>
      <c r="AL81" s="24" t="s">
        <v>136</v>
      </c>
      <c r="AM81" s="24" t="s">
        <v>136</v>
      </c>
      <c r="AN81" s="24" t="s">
        <v>136</v>
      </c>
      <c r="AO81" s="24" t="s">
        <v>136</v>
      </c>
      <c r="AP81" s="24" t="s">
        <v>136</v>
      </c>
      <c r="AQ81" s="24" t="s">
        <v>136</v>
      </c>
      <c r="BU81" s="24" t="s">
        <v>933</v>
      </c>
      <c r="BV81" s="24" t="s">
        <v>156</v>
      </c>
      <c r="BW81" s="24" t="s">
        <v>137</v>
      </c>
      <c r="BX81" s="24" t="s">
        <v>1001</v>
      </c>
      <c r="BY81" s="24" t="s">
        <v>420</v>
      </c>
      <c r="BZ81" s="24" t="s">
        <v>337</v>
      </c>
      <c r="CA81" s="24" t="s">
        <v>338</v>
      </c>
      <c r="CB81" s="24" t="s">
        <v>149</v>
      </c>
      <c r="CC81" s="24" t="s">
        <v>351</v>
      </c>
      <c r="CD81" s="24" t="s">
        <v>171</v>
      </c>
      <c r="CE81" s="24" t="s">
        <v>152</v>
      </c>
      <c r="CF81" s="24" t="s">
        <v>153</v>
      </c>
      <c r="CG81" s="24">
        <v>1</v>
      </c>
      <c r="CH81" s="24" t="s">
        <v>244</v>
      </c>
      <c r="CI81" s="24" t="s">
        <v>357</v>
      </c>
      <c r="CJ81" s="24" t="s">
        <v>136</v>
      </c>
      <c r="CK81" s="24" t="s">
        <v>362</v>
      </c>
      <c r="CL81" s="24">
        <v>3</v>
      </c>
      <c r="CM81" s="24">
        <v>4</v>
      </c>
      <c r="CN81" s="24">
        <v>3</v>
      </c>
      <c r="CO81" s="24">
        <v>3</v>
      </c>
      <c r="CP81" s="24">
        <v>4</v>
      </c>
      <c r="CQ81" s="24">
        <v>3</v>
      </c>
      <c r="CR81" s="24">
        <v>3</v>
      </c>
      <c r="CS81" s="24">
        <v>3</v>
      </c>
      <c r="CT81" s="24">
        <v>4</v>
      </c>
      <c r="CU81" s="24">
        <v>4</v>
      </c>
      <c r="CV81" s="24">
        <v>4</v>
      </c>
      <c r="CW81" s="24">
        <v>4</v>
      </c>
      <c r="CX81" s="24">
        <v>3</v>
      </c>
      <c r="CY81" s="24">
        <v>3</v>
      </c>
      <c r="CZ81" s="24">
        <v>3</v>
      </c>
      <c r="DA81" s="24">
        <v>3</v>
      </c>
      <c r="DB81" s="24" t="s">
        <v>432</v>
      </c>
      <c r="DC81" s="24">
        <v>4</v>
      </c>
      <c r="DD81" s="24" t="s">
        <v>343</v>
      </c>
      <c r="DE81" s="24" t="s">
        <v>136</v>
      </c>
      <c r="DF81" s="24">
        <v>4</v>
      </c>
      <c r="DG81" s="24">
        <v>4</v>
      </c>
      <c r="DH81" s="24">
        <v>4</v>
      </c>
      <c r="DI81" s="24" t="s">
        <v>1002</v>
      </c>
      <c r="DJ81" s="24" t="s">
        <v>188</v>
      </c>
      <c r="DK81" s="24" t="s">
        <v>137</v>
      </c>
    </row>
    <row r="82" spans="1:115" ht="22.5" customHeight="1" x14ac:dyDescent="0.2">
      <c r="A82" s="23">
        <v>46065.468254016203</v>
      </c>
      <c r="B82" s="24" t="s">
        <v>1003</v>
      </c>
      <c r="C82" s="24">
        <v>0</v>
      </c>
      <c r="D82" s="24" t="s">
        <v>1004</v>
      </c>
      <c r="E82" s="24" t="s">
        <v>1005</v>
      </c>
      <c r="F82" s="24" t="s">
        <v>163</v>
      </c>
      <c r="G82" s="24">
        <v>60</v>
      </c>
      <c r="H82" s="25" t="s">
        <v>1006</v>
      </c>
      <c r="I82" s="24" t="s">
        <v>194</v>
      </c>
      <c r="J82" s="24" t="s">
        <v>195</v>
      </c>
      <c r="K82" s="24" t="s">
        <v>196</v>
      </c>
      <c r="L82" s="24" t="s">
        <v>359</v>
      </c>
      <c r="M82" s="24" t="s">
        <v>136</v>
      </c>
      <c r="N82" s="24" t="s">
        <v>425</v>
      </c>
      <c r="O82" s="24" t="s">
        <v>199</v>
      </c>
      <c r="P82" s="24" t="s">
        <v>156</v>
      </c>
      <c r="Q82" s="24" t="s">
        <v>215</v>
      </c>
      <c r="R82" s="24" t="s">
        <v>217</v>
      </c>
      <c r="S82" s="24" t="s">
        <v>255</v>
      </c>
      <c r="T82" s="24" t="s">
        <v>136</v>
      </c>
      <c r="U82" s="24" t="s">
        <v>202</v>
      </c>
      <c r="V82" s="24" t="s">
        <v>199</v>
      </c>
      <c r="AI82" s="24" t="s">
        <v>304</v>
      </c>
      <c r="AJ82" s="24" t="s">
        <v>136</v>
      </c>
      <c r="AK82" s="24" t="s">
        <v>136</v>
      </c>
      <c r="AL82" s="24" t="s">
        <v>156</v>
      </c>
      <c r="AM82" s="24" t="s">
        <v>156</v>
      </c>
      <c r="AN82" s="24" t="s">
        <v>136</v>
      </c>
      <c r="AO82" s="24" t="s">
        <v>136</v>
      </c>
      <c r="AP82" s="24" t="s">
        <v>156</v>
      </c>
      <c r="AQ82" s="24" t="s">
        <v>136</v>
      </c>
      <c r="BU82" s="24" t="s">
        <v>167</v>
      </c>
      <c r="BV82" s="24" t="s">
        <v>136</v>
      </c>
      <c r="BW82" s="24" t="s">
        <v>1007</v>
      </c>
      <c r="BY82" s="24" t="s">
        <v>420</v>
      </c>
      <c r="BZ82" s="24" t="s">
        <v>307</v>
      </c>
      <c r="CA82" s="24" t="s">
        <v>439</v>
      </c>
      <c r="CB82" s="24" t="s">
        <v>149</v>
      </c>
      <c r="CC82" s="24" t="s">
        <v>150</v>
      </c>
      <c r="CD82" s="24" t="s">
        <v>171</v>
      </c>
      <c r="CE82" s="24" t="s">
        <v>152</v>
      </c>
      <c r="CF82" s="24" t="s">
        <v>153</v>
      </c>
      <c r="CG82" s="24">
        <v>4</v>
      </c>
      <c r="CH82" s="24" t="s">
        <v>172</v>
      </c>
      <c r="CI82" s="24" t="s">
        <v>278</v>
      </c>
      <c r="CJ82" s="24" t="s">
        <v>136</v>
      </c>
      <c r="CK82" s="24" t="s">
        <v>512</v>
      </c>
      <c r="CL82" s="24">
        <v>3</v>
      </c>
      <c r="CM82" s="24">
        <v>3</v>
      </c>
      <c r="CN82" s="24">
        <v>4</v>
      </c>
      <c r="CO82" s="24">
        <v>4</v>
      </c>
      <c r="CP82" s="24">
        <v>4</v>
      </c>
      <c r="CQ82" s="24">
        <v>2</v>
      </c>
      <c r="CR82" s="24">
        <v>2</v>
      </c>
      <c r="CS82" s="24">
        <v>2</v>
      </c>
      <c r="CT82" s="24">
        <v>3</v>
      </c>
      <c r="CU82" s="24">
        <v>3</v>
      </c>
      <c r="CV82" s="24">
        <v>4</v>
      </c>
      <c r="CW82" s="24">
        <v>4</v>
      </c>
      <c r="CX82" s="24">
        <v>4</v>
      </c>
      <c r="CY82" s="24">
        <v>4</v>
      </c>
      <c r="CZ82" s="24">
        <v>3</v>
      </c>
      <c r="DA82" s="24">
        <v>3</v>
      </c>
      <c r="DB82" s="24" t="s">
        <v>274</v>
      </c>
      <c r="DC82" s="24">
        <v>3</v>
      </c>
      <c r="DD82" s="24" t="s">
        <v>424</v>
      </c>
      <c r="DE82" s="24" t="s">
        <v>136</v>
      </c>
      <c r="DF82" s="24">
        <v>4</v>
      </c>
      <c r="DG82" s="24">
        <v>3</v>
      </c>
      <c r="DH82" s="24">
        <v>3</v>
      </c>
      <c r="DI82" s="24" t="s">
        <v>953</v>
      </c>
      <c r="DJ82" s="24" t="s">
        <v>159</v>
      </c>
      <c r="DK82" s="24" t="s">
        <v>1008</v>
      </c>
    </row>
    <row r="83" spans="1:115" ht="22.5" customHeight="1" x14ac:dyDescent="0.2">
      <c r="A83" s="23">
        <v>46065.473185532406</v>
      </c>
      <c r="B83" s="24" t="s">
        <v>1009</v>
      </c>
      <c r="C83" s="24">
        <v>0</v>
      </c>
      <c r="D83" s="24" t="s">
        <v>1010</v>
      </c>
      <c r="E83" s="24" t="s">
        <v>1011</v>
      </c>
      <c r="F83" s="24" t="s">
        <v>128</v>
      </c>
      <c r="G83" s="24">
        <v>61</v>
      </c>
      <c r="H83" s="25" t="s">
        <v>1012</v>
      </c>
      <c r="I83" s="24" t="s">
        <v>194</v>
      </c>
      <c r="J83" s="24" t="s">
        <v>301</v>
      </c>
      <c r="K83" s="24" t="s">
        <v>345</v>
      </c>
      <c r="M83" s="24" t="s">
        <v>136</v>
      </c>
      <c r="N83" s="24" t="s">
        <v>240</v>
      </c>
      <c r="O83" s="24" t="s">
        <v>199</v>
      </c>
      <c r="P83" s="24" t="s">
        <v>136</v>
      </c>
      <c r="Q83" s="24" t="s">
        <v>502</v>
      </c>
      <c r="R83" s="24" t="s">
        <v>199</v>
      </c>
      <c r="S83" s="24" t="s">
        <v>255</v>
      </c>
      <c r="T83" s="24" t="s">
        <v>136</v>
      </c>
      <c r="U83" s="24" t="s">
        <v>202</v>
      </c>
      <c r="V83" s="24" t="s">
        <v>199</v>
      </c>
      <c r="AI83" s="24" t="s">
        <v>144</v>
      </c>
      <c r="AJ83" s="24" t="s">
        <v>136</v>
      </c>
      <c r="AK83" s="24" t="s">
        <v>136</v>
      </c>
      <c r="AL83" s="24" t="s">
        <v>136</v>
      </c>
      <c r="AM83" s="24" t="s">
        <v>136</v>
      </c>
      <c r="AN83" s="24" t="s">
        <v>156</v>
      </c>
      <c r="AO83" s="24" t="s">
        <v>136</v>
      </c>
      <c r="AP83" s="24" t="s">
        <v>136</v>
      </c>
      <c r="AQ83" s="24" t="s">
        <v>156</v>
      </c>
      <c r="BN83" s="24" t="s">
        <v>167</v>
      </c>
      <c r="BO83" s="24" t="s">
        <v>136</v>
      </c>
      <c r="BP83" s="24" t="s">
        <v>1013</v>
      </c>
      <c r="BR83" s="24" t="s">
        <v>146</v>
      </c>
      <c r="BS83" s="24" t="s">
        <v>169</v>
      </c>
      <c r="BT83" s="24" t="s">
        <v>170</v>
      </c>
      <c r="CB83" s="24" t="s">
        <v>267</v>
      </c>
      <c r="CC83" s="24" t="s">
        <v>150</v>
      </c>
      <c r="CD83" s="24" t="s">
        <v>322</v>
      </c>
      <c r="CE83" s="24" t="s">
        <v>204</v>
      </c>
      <c r="CF83" s="24" t="s">
        <v>153</v>
      </c>
      <c r="CG83" s="24">
        <v>4</v>
      </c>
      <c r="CH83" s="24" t="s">
        <v>205</v>
      </c>
      <c r="CI83" s="24" t="s">
        <v>324</v>
      </c>
      <c r="CJ83" s="24" t="s">
        <v>136</v>
      </c>
      <c r="CK83" s="24" t="s">
        <v>537</v>
      </c>
      <c r="CL83" s="24">
        <v>3</v>
      </c>
      <c r="CM83" s="24">
        <v>3</v>
      </c>
      <c r="CN83" s="24">
        <v>3</v>
      </c>
      <c r="CO83" s="24">
        <v>4</v>
      </c>
      <c r="CP83" s="24">
        <v>4</v>
      </c>
      <c r="CQ83" s="24">
        <v>3</v>
      </c>
      <c r="CR83" s="24">
        <v>3</v>
      </c>
      <c r="CS83" s="24">
        <v>3</v>
      </c>
      <c r="CT83" s="24">
        <v>3</v>
      </c>
      <c r="CU83" s="24">
        <v>3</v>
      </c>
      <c r="CV83" s="24">
        <v>4</v>
      </c>
      <c r="CW83" s="24">
        <v>2</v>
      </c>
      <c r="CX83" s="24">
        <v>3</v>
      </c>
      <c r="CY83" s="24">
        <v>3</v>
      </c>
      <c r="CZ83" s="24">
        <v>2</v>
      </c>
      <c r="DA83" s="24">
        <v>1</v>
      </c>
      <c r="DB83" s="24" t="s">
        <v>247</v>
      </c>
      <c r="DC83" s="24">
        <v>3</v>
      </c>
      <c r="DD83" s="24" t="s">
        <v>574</v>
      </c>
      <c r="DE83" s="24" t="s">
        <v>136</v>
      </c>
      <c r="DF83" s="24">
        <v>3</v>
      </c>
      <c r="DG83" s="24">
        <v>4</v>
      </c>
      <c r="DH83" s="24">
        <v>3</v>
      </c>
      <c r="DI83" s="24" t="s">
        <v>789</v>
      </c>
      <c r="DJ83" s="24" t="s">
        <v>603</v>
      </c>
      <c r="DK83" s="24" t="s">
        <v>1014</v>
      </c>
    </row>
    <row r="84" spans="1:115" ht="22.5" customHeight="1" x14ac:dyDescent="0.2">
      <c r="A84" s="23">
        <v>46065.473495300925</v>
      </c>
      <c r="B84" s="24" t="s">
        <v>1015</v>
      </c>
      <c r="C84" s="24">
        <v>0</v>
      </c>
      <c r="D84" s="24" t="s">
        <v>1016</v>
      </c>
      <c r="E84" s="24" t="s">
        <v>1017</v>
      </c>
      <c r="F84" s="24" t="s">
        <v>128</v>
      </c>
      <c r="G84" s="24">
        <v>60</v>
      </c>
      <c r="H84" s="25" t="s">
        <v>1018</v>
      </c>
      <c r="I84" s="24" t="s">
        <v>275</v>
      </c>
      <c r="J84" s="24" t="s">
        <v>133</v>
      </c>
      <c r="K84" s="24" t="s">
        <v>135</v>
      </c>
      <c r="M84" s="24" t="s">
        <v>136</v>
      </c>
      <c r="N84" s="24" t="s">
        <v>425</v>
      </c>
      <c r="O84" s="24" t="s">
        <v>199</v>
      </c>
      <c r="P84" s="24" t="s">
        <v>156</v>
      </c>
      <c r="Q84" s="24" t="s">
        <v>215</v>
      </c>
      <c r="R84" s="24" t="s">
        <v>270</v>
      </c>
      <c r="S84" s="24" t="s">
        <v>255</v>
      </c>
      <c r="T84" s="24" t="s">
        <v>136</v>
      </c>
      <c r="U84" s="24" t="s">
        <v>241</v>
      </c>
      <c r="V84" s="24" t="s">
        <v>199</v>
      </c>
      <c r="AI84" s="24" t="s">
        <v>304</v>
      </c>
      <c r="AJ84" s="24" t="s">
        <v>136</v>
      </c>
      <c r="AK84" s="24" t="s">
        <v>136</v>
      </c>
      <c r="AL84" s="24" t="s">
        <v>136</v>
      </c>
      <c r="AM84" s="24" t="s">
        <v>136</v>
      </c>
      <c r="AN84" s="24" t="s">
        <v>136</v>
      </c>
      <c r="AO84" s="24" t="s">
        <v>136</v>
      </c>
      <c r="AP84" s="24" t="s">
        <v>136</v>
      </c>
      <c r="AQ84" s="24" t="s">
        <v>136</v>
      </c>
      <c r="BU84" s="24" t="s">
        <v>933</v>
      </c>
      <c r="BV84" s="24" t="s">
        <v>156</v>
      </c>
      <c r="BY84" s="24" t="s">
        <v>420</v>
      </c>
      <c r="BZ84" s="24" t="s">
        <v>447</v>
      </c>
      <c r="CA84" s="24" t="s">
        <v>338</v>
      </c>
      <c r="CB84" s="24" t="s">
        <v>267</v>
      </c>
      <c r="CC84" s="24" t="s">
        <v>150</v>
      </c>
      <c r="CD84" s="24" t="s">
        <v>171</v>
      </c>
      <c r="CE84" s="24" t="s">
        <v>152</v>
      </c>
      <c r="CF84" s="24" t="s">
        <v>243</v>
      </c>
      <c r="CG84" s="24">
        <v>4</v>
      </c>
      <c r="CH84" s="24" t="s">
        <v>154</v>
      </c>
      <c r="CI84" s="24" t="s">
        <v>206</v>
      </c>
      <c r="CJ84" s="24" t="s">
        <v>136</v>
      </c>
      <c r="CK84" s="24" t="s">
        <v>279</v>
      </c>
      <c r="CL84" s="24">
        <v>4</v>
      </c>
      <c r="CM84" s="24">
        <v>4</v>
      </c>
      <c r="CN84" s="24">
        <v>4</v>
      </c>
      <c r="CO84" s="24">
        <v>4</v>
      </c>
      <c r="CP84" s="24">
        <v>5</v>
      </c>
      <c r="CQ84" s="24">
        <v>4</v>
      </c>
      <c r="CR84" s="24">
        <v>4</v>
      </c>
      <c r="CS84" s="24">
        <v>4</v>
      </c>
      <c r="CT84" s="24">
        <v>4</v>
      </c>
      <c r="CU84" s="24">
        <v>4</v>
      </c>
      <c r="CV84" s="24">
        <v>4</v>
      </c>
      <c r="CW84" s="24">
        <v>4</v>
      </c>
      <c r="CX84" s="24">
        <v>3</v>
      </c>
      <c r="CY84" s="24">
        <v>4</v>
      </c>
      <c r="CZ84" s="24">
        <v>4</v>
      </c>
      <c r="DA84" s="24">
        <v>3</v>
      </c>
      <c r="DB84" s="24" t="s">
        <v>431</v>
      </c>
      <c r="DC84" s="24">
        <v>4</v>
      </c>
      <c r="DD84" s="24" t="s">
        <v>1019</v>
      </c>
      <c r="DE84" s="24" t="s">
        <v>156</v>
      </c>
      <c r="DJ84" s="24" t="s">
        <v>435</v>
      </c>
      <c r="DK84" s="24" t="s">
        <v>137</v>
      </c>
    </row>
    <row r="85" spans="1:115" ht="22.5" customHeight="1" x14ac:dyDescent="0.2">
      <c r="A85" s="23">
        <v>46065.474618287037</v>
      </c>
      <c r="B85" s="24" t="s">
        <v>1020</v>
      </c>
      <c r="C85" s="24">
        <v>0</v>
      </c>
      <c r="D85" s="24" t="s">
        <v>1021</v>
      </c>
      <c r="E85" s="24" t="s">
        <v>1022</v>
      </c>
      <c r="F85" s="24" t="s">
        <v>128</v>
      </c>
      <c r="G85" s="24">
        <v>62</v>
      </c>
      <c r="H85" s="25" t="s">
        <v>1023</v>
      </c>
      <c r="I85" s="24" t="s">
        <v>275</v>
      </c>
      <c r="J85" s="24" t="s">
        <v>344</v>
      </c>
      <c r="K85" s="24" t="s">
        <v>135</v>
      </c>
      <c r="M85" s="24" t="s">
        <v>136</v>
      </c>
      <c r="N85" s="24" t="s">
        <v>276</v>
      </c>
      <c r="O85" s="24" t="s">
        <v>199</v>
      </c>
      <c r="P85" s="24" t="s">
        <v>136</v>
      </c>
      <c r="Q85" s="24" t="s">
        <v>254</v>
      </c>
      <c r="R85" s="24" t="s">
        <v>199</v>
      </c>
      <c r="S85" s="24" t="s">
        <v>218</v>
      </c>
      <c r="T85" s="24" t="s">
        <v>156</v>
      </c>
      <c r="U85" s="24" t="s">
        <v>256</v>
      </c>
      <c r="V85" s="24" t="s">
        <v>199</v>
      </c>
      <c r="W85" s="24" t="s">
        <v>1024</v>
      </c>
      <c r="X85" s="24" t="s">
        <v>1025</v>
      </c>
      <c r="Y85" s="24" t="s">
        <v>1026</v>
      </c>
      <c r="Z85" s="24" t="s">
        <v>136</v>
      </c>
      <c r="AA85" s="24" t="s">
        <v>136</v>
      </c>
      <c r="AB85" s="24" t="s">
        <v>136</v>
      </c>
      <c r="AC85" s="24" t="s">
        <v>136</v>
      </c>
      <c r="AD85" s="24" t="s">
        <v>136</v>
      </c>
      <c r="AE85" s="24" t="s">
        <v>136</v>
      </c>
      <c r="AF85" s="24" t="s">
        <v>136</v>
      </c>
      <c r="AG85" s="24" t="s">
        <v>136</v>
      </c>
      <c r="AH85" s="24" t="s">
        <v>144</v>
      </c>
      <c r="CJ85" s="24" t="s">
        <v>136</v>
      </c>
      <c r="CK85" s="24" t="s">
        <v>231</v>
      </c>
      <c r="CL85" s="24">
        <v>3</v>
      </c>
      <c r="CM85" s="24">
        <v>3</v>
      </c>
      <c r="CN85" s="24">
        <v>3</v>
      </c>
      <c r="CO85" s="24">
        <v>3</v>
      </c>
      <c r="CP85" s="24">
        <v>4</v>
      </c>
      <c r="CQ85" s="24">
        <v>3</v>
      </c>
      <c r="CR85" s="24">
        <v>3</v>
      </c>
      <c r="CS85" s="24">
        <v>3</v>
      </c>
      <c r="CT85" s="24">
        <v>3</v>
      </c>
      <c r="CU85" s="24">
        <v>3</v>
      </c>
      <c r="CV85" s="24">
        <v>3</v>
      </c>
      <c r="CW85" s="24">
        <v>3</v>
      </c>
      <c r="CX85" s="24">
        <v>3</v>
      </c>
      <c r="CY85" s="24">
        <v>3</v>
      </c>
      <c r="CZ85" s="24">
        <v>3</v>
      </c>
      <c r="DA85" s="24">
        <v>3</v>
      </c>
      <c r="DB85" s="24" t="s">
        <v>413</v>
      </c>
      <c r="DC85" s="24">
        <v>3</v>
      </c>
      <c r="DD85" s="24" t="s">
        <v>1027</v>
      </c>
      <c r="DE85" s="24" t="s">
        <v>136</v>
      </c>
      <c r="DF85" s="24">
        <v>3</v>
      </c>
      <c r="DG85" s="24">
        <v>3</v>
      </c>
      <c r="DH85" s="24">
        <v>3</v>
      </c>
      <c r="DI85" s="24" t="s">
        <v>1028</v>
      </c>
      <c r="DJ85" s="24" t="s">
        <v>902</v>
      </c>
      <c r="DK85" s="24" t="s">
        <v>137</v>
      </c>
    </row>
    <row r="86" spans="1:115" ht="22.5" customHeight="1" x14ac:dyDescent="0.2">
      <c r="A86" s="23">
        <v>46065.488232129632</v>
      </c>
      <c r="B86" s="24" t="s">
        <v>1029</v>
      </c>
      <c r="C86" s="24">
        <v>0</v>
      </c>
      <c r="D86" s="24" t="s">
        <v>1030</v>
      </c>
      <c r="E86" s="24" t="s">
        <v>1031</v>
      </c>
      <c r="F86" s="24" t="s">
        <v>128</v>
      </c>
      <c r="G86" s="24">
        <v>60</v>
      </c>
      <c r="H86" s="25" t="s">
        <v>1032</v>
      </c>
      <c r="I86" s="24" t="s">
        <v>194</v>
      </c>
      <c r="J86" s="24" t="s">
        <v>133</v>
      </c>
      <c r="K86" s="24" t="s">
        <v>135</v>
      </c>
      <c r="M86" s="24" t="s">
        <v>136</v>
      </c>
      <c r="N86" s="24" t="s">
        <v>425</v>
      </c>
      <c r="O86" s="24" t="s">
        <v>199</v>
      </c>
      <c r="P86" s="24" t="s">
        <v>156</v>
      </c>
      <c r="Q86" s="24" t="s">
        <v>215</v>
      </c>
      <c r="R86" s="24" t="s">
        <v>318</v>
      </c>
      <c r="S86" s="24" t="s">
        <v>313</v>
      </c>
      <c r="T86" s="24" t="s">
        <v>136</v>
      </c>
      <c r="U86" s="24" t="s">
        <v>256</v>
      </c>
      <c r="V86" s="24" t="s">
        <v>199</v>
      </c>
      <c r="AI86" s="24" t="s">
        <v>304</v>
      </c>
      <c r="AJ86" s="24" t="s">
        <v>136</v>
      </c>
      <c r="AK86" s="24" t="s">
        <v>156</v>
      </c>
      <c r="AL86" s="24" t="s">
        <v>136</v>
      </c>
      <c r="AM86" s="24" t="s">
        <v>156</v>
      </c>
      <c r="AN86" s="24" t="s">
        <v>136</v>
      </c>
      <c r="AO86" s="24" t="s">
        <v>136</v>
      </c>
      <c r="AP86" s="24" t="s">
        <v>156</v>
      </c>
      <c r="AQ86" s="24" t="s">
        <v>156</v>
      </c>
      <c r="BU86" s="24" t="s">
        <v>167</v>
      </c>
      <c r="BV86" s="24" t="s">
        <v>136</v>
      </c>
      <c r="BW86" s="24" t="s">
        <v>1033</v>
      </c>
      <c r="BY86" s="24" t="s">
        <v>306</v>
      </c>
      <c r="BZ86" s="24" t="s">
        <v>337</v>
      </c>
      <c r="CA86" s="24" t="s">
        <v>338</v>
      </c>
      <c r="CB86" s="24" t="s">
        <v>149</v>
      </c>
      <c r="CC86" s="24" t="s">
        <v>150</v>
      </c>
      <c r="CD86" s="24" t="s">
        <v>229</v>
      </c>
      <c r="CE86" s="24" t="s">
        <v>152</v>
      </c>
      <c r="CF86" s="24" t="s">
        <v>153</v>
      </c>
      <c r="CG86" s="24">
        <v>3</v>
      </c>
      <c r="CH86" s="24" t="s">
        <v>323</v>
      </c>
      <c r="CI86" s="24" t="s">
        <v>309</v>
      </c>
      <c r="CJ86" s="24" t="s">
        <v>136</v>
      </c>
      <c r="CK86" s="24" t="s">
        <v>231</v>
      </c>
      <c r="CL86" s="24">
        <v>3</v>
      </c>
      <c r="CM86" s="24">
        <v>3</v>
      </c>
      <c r="CN86" s="24">
        <v>3</v>
      </c>
      <c r="CO86" s="24">
        <v>3</v>
      </c>
      <c r="CP86" s="24">
        <v>4</v>
      </c>
      <c r="CQ86" s="24">
        <v>3</v>
      </c>
      <c r="CR86" s="24">
        <v>2</v>
      </c>
      <c r="CS86" s="24">
        <v>3</v>
      </c>
      <c r="CT86" s="24">
        <v>3</v>
      </c>
      <c r="CU86" s="24">
        <v>3</v>
      </c>
      <c r="CV86" s="24">
        <v>3</v>
      </c>
      <c r="CW86" s="24">
        <v>3</v>
      </c>
      <c r="CX86" s="24">
        <v>3</v>
      </c>
      <c r="CY86" s="24">
        <v>3</v>
      </c>
      <c r="CZ86" s="24">
        <v>3</v>
      </c>
      <c r="DA86" s="24">
        <v>3</v>
      </c>
      <c r="DB86" s="24" t="s">
        <v>247</v>
      </c>
      <c r="DC86" s="24">
        <v>3</v>
      </c>
      <c r="DD86" s="24" t="s">
        <v>715</v>
      </c>
      <c r="DE86" s="24" t="s">
        <v>136</v>
      </c>
      <c r="DF86" s="24">
        <v>3</v>
      </c>
      <c r="DG86" s="24">
        <v>3</v>
      </c>
      <c r="DH86" s="24">
        <v>2</v>
      </c>
      <c r="DI86" s="24" t="s">
        <v>638</v>
      </c>
      <c r="DJ86" s="24" t="s">
        <v>902</v>
      </c>
      <c r="DK86" s="24" t="s">
        <v>137</v>
      </c>
    </row>
    <row r="87" spans="1:115" ht="22.5" customHeight="1" x14ac:dyDescent="0.2">
      <c r="A87" s="23">
        <v>46065.489564942131</v>
      </c>
      <c r="B87" s="24" t="s">
        <v>1034</v>
      </c>
      <c r="C87" s="24">
        <v>0</v>
      </c>
      <c r="D87" s="24" t="s">
        <v>1035</v>
      </c>
      <c r="E87" s="24" t="s">
        <v>1036</v>
      </c>
      <c r="F87" s="24" t="s">
        <v>128</v>
      </c>
      <c r="G87" s="24">
        <v>60</v>
      </c>
      <c r="H87" s="25" t="s">
        <v>1037</v>
      </c>
      <c r="I87" s="24" t="s">
        <v>194</v>
      </c>
      <c r="J87" s="24" t="s">
        <v>344</v>
      </c>
      <c r="K87" s="24" t="s">
        <v>135</v>
      </c>
      <c r="M87" s="24" t="s">
        <v>136</v>
      </c>
      <c r="N87" s="24" t="s">
        <v>240</v>
      </c>
      <c r="O87" s="24" t="s">
        <v>199</v>
      </c>
      <c r="P87" s="24" t="s">
        <v>136</v>
      </c>
      <c r="Q87" s="24" t="s">
        <v>502</v>
      </c>
      <c r="R87" s="24" t="s">
        <v>199</v>
      </c>
      <c r="S87" s="24" t="s">
        <v>255</v>
      </c>
      <c r="T87" s="24" t="s">
        <v>136</v>
      </c>
      <c r="U87" s="24" t="s">
        <v>241</v>
      </c>
      <c r="V87" s="24" t="s">
        <v>199</v>
      </c>
      <c r="AI87" s="24" t="s">
        <v>319</v>
      </c>
      <c r="AJ87" s="24" t="s">
        <v>136</v>
      </c>
      <c r="AK87" s="24" t="s">
        <v>156</v>
      </c>
      <c r="AL87" s="24" t="s">
        <v>156</v>
      </c>
      <c r="AM87" s="24" t="s">
        <v>136</v>
      </c>
      <c r="AN87" s="24" t="s">
        <v>156</v>
      </c>
      <c r="AO87" s="24" t="s">
        <v>156</v>
      </c>
      <c r="AP87" s="24" t="s">
        <v>136</v>
      </c>
      <c r="AQ87" s="24" t="s">
        <v>136</v>
      </c>
      <c r="AY87" s="24" t="s">
        <v>305</v>
      </c>
      <c r="AZ87" s="24" t="s">
        <v>156</v>
      </c>
      <c r="BB87" s="24" t="s">
        <v>1038</v>
      </c>
      <c r="BC87" s="24" t="s">
        <v>320</v>
      </c>
      <c r="BD87" s="24" t="s">
        <v>1039</v>
      </c>
      <c r="BE87" s="24" t="s">
        <v>1040</v>
      </c>
      <c r="CB87" s="24" t="s">
        <v>267</v>
      </c>
      <c r="CC87" s="24" t="s">
        <v>150</v>
      </c>
      <c r="CD87" s="24" t="s">
        <v>171</v>
      </c>
      <c r="CE87" s="24" t="s">
        <v>152</v>
      </c>
      <c r="CF87" s="24" t="s">
        <v>243</v>
      </c>
      <c r="CG87" s="24">
        <v>3</v>
      </c>
      <c r="CH87" s="24" t="s">
        <v>244</v>
      </c>
      <c r="CI87" s="24" t="s">
        <v>245</v>
      </c>
      <c r="CJ87" s="24" t="s">
        <v>136</v>
      </c>
      <c r="CK87" s="24" t="s">
        <v>207</v>
      </c>
      <c r="CL87" s="24">
        <v>2</v>
      </c>
      <c r="CM87" s="24">
        <v>2</v>
      </c>
      <c r="CN87" s="24">
        <v>2</v>
      </c>
      <c r="CO87" s="24">
        <v>2</v>
      </c>
      <c r="CP87" s="24">
        <v>1</v>
      </c>
      <c r="CQ87" s="24">
        <v>1</v>
      </c>
      <c r="CR87" s="24">
        <v>3</v>
      </c>
      <c r="CS87" s="24">
        <v>3</v>
      </c>
      <c r="CT87" s="24">
        <v>3</v>
      </c>
      <c r="CU87" s="24">
        <v>3</v>
      </c>
      <c r="CV87" s="24">
        <v>3</v>
      </c>
      <c r="CW87" s="24">
        <v>2</v>
      </c>
      <c r="CX87" s="24">
        <v>3</v>
      </c>
      <c r="CY87" s="24">
        <v>3</v>
      </c>
      <c r="CZ87" s="24">
        <v>2</v>
      </c>
      <c r="DA87" s="24">
        <v>2</v>
      </c>
      <c r="DB87" s="24" t="s">
        <v>247</v>
      </c>
      <c r="DC87" s="24">
        <v>3</v>
      </c>
      <c r="DD87" s="24" t="s">
        <v>1041</v>
      </c>
      <c r="DE87" s="24" t="s">
        <v>156</v>
      </c>
      <c r="DJ87" s="24" t="s">
        <v>210</v>
      </c>
      <c r="DK87" s="24" t="s">
        <v>137</v>
      </c>
    </row>
    <row r="88" spans="1:115" ht="22.5" customHeight="1" x14ac:dyDescent="0.2">
      <c r="A88" s="23">
        <v>46065.490433020837</v>
      </c>
      <c r="B88" s="24" t="s">
        <v>1042</v>
      </c>
      <c r="C88" s="24">
        <v>0</v>
      </c>
      <c r="D88" s="24" t="s">
        <v>1043</v>
      </c>
      <c r="E88" s="24" t="s">
        <v>1044</v>
      </c>
      <c r="F88" s="24" t="s">
        <v>128</v>
      </c>
      <c r="G88" s="24">
        <v>60</v>
      </c>
      <c r="H88" s="25" t="s">
        <v>1045</v>
      </c>
      <c r="I88" s="24" t="s">
        <v>194</v>
      </c>
      <c r="J88" s="24" t="s">
        <v>301</v>
      </c>
      <c r="K88" s="24" t="s">
        <v>345</v>
      </c>
      <c r="M88" s="24" t="s">
        <v>136</v>
      </c>
      <c r="N88" s="24" t="s">
        <v>425</v>
      </c>
      <c r="O88" s="24" t="s">
        <v>199</v>
      </c>
      <c r="P88" s="24" t="s">
        <v>136</v>
      </c>
      <c r="Q88" s="24" t="s">
        <v>254</v>
      </c>
      <c r="R88" s="24" t="s">
        <v>199</v>
      </c>
      <c r="S88" s="24" t="s">
        <v>218</v>
      </c>
      <c r="T88" s="24" t="s">
        <v>136</v>
      </c>
      <c r="U88" s="24" t="s">
        <v>241</v>
      </c>
      <c r="V88" s="24" t="s">
        <v>199</v>
      </c>
      <c r="AI88" s="24" t="s">
        <v>144</v>
      </c>
      <c r="AJ88" s="24" t="s">
        <v>156</v>
      </c>
      <c r="AK88" s="24" t="s">
        <v>136</v>
      </c>
      <c r="AL88" s="24" t="s">
        <v>156</v>
      </c>
      <c r="AM88" s="24" t="s">
        <v>156</v>
      </c>
      <c r="AN88" s="24" t="s">
        <v>136</v>
      </c>
      <c r="AO88" s="24" t="s">
        <v>156</v>
      </c>
      <c r="AP88" s="24" t="s">
        <v>136</v>
      </c>
      <c r="AQ88" s="24" t="s">
        <v>136</v>
      </c>
      <c r="BN88" s="24" t="s">
        <v>346</v>
      </c>
      <c r="BO88" s="24" t="s">
        <v>156</v>
      </c>
      <c r="BQ88" s="24" t="s">
        <v>156</v>
      </c>
      <c r="BR88" s="24" t="s">
        <v>168</v>
      </c>
      <c r="BS88" s="24" t="s">
        <v>518</v>
      </c>
      <c r="BT88" s="24" t="s">
        <v>340</v>
      </c>
      <c r="CB88" s="24" t="s">
        <v>149</v>
      </c>
      <c r="CC88" s="24" t="s">
        <v>150</v>
      </c>
      <c r="CD88" s="24" t="s">
        <v>171</v>
      </c>
      <c r="CE88" s="24" t="s">
        <v>152</v>
      </c>
      <c r="CF88" s="24">
        <v>3</v>
      </c>
      <c r="CG88" s="24">
        <v>4</v>
      </c>
      <c r="CH88" s="24" t="s">
        <v>205</v>
      </c>
      <c r="CI88" s="24" t="s">
        <v>398</v>
      </c>
      <c r="CJ88" s="24" t="s">
        <v>136</v>
      </c>
      <c r="CK88" s="24" t="s">
        <v>246</v>
      </c>
      <c r="CL88" s="24">
        <v>2</v>
      </c>
      <c r="CM88" s="24">
        <v>2</v>
      </c>
      <c r="CN88" s="24">
        <v>2</v>
      </c>
      <c r="CO88" s="24">
        <v>2</v>
      </c>
      <c r="CP88" s="24">
        <v>2</v>
      </c>
      <c r="CQ88" s="24">
        <v>2</v>
      </c>
      <c r="CR88" s="24">
        <v>2</v>
      </c>
      <c r="CS88" s="24">
        <v>2</v>
      </c>
      <c r="CT88" s="24">
        <v>2</v>
      </c>
      <c r="CU88" s="24">
        <v>2</v>
      </c>
      <c r="CV88" s="24">
        <v>2</v>
      </c>
      <c r="CW88" s="24">
        <v>2</v>
      </c>
      <c r="CX88" s="24">
        <v>2</v>
      </c>
      <c r="CY88" s="24">
        <v>2</v>
      </c>
      <c r="CZ88" s="24">
        <v>2</v>
      </c>
      <c r="DA88" s="24">
        <v>2</v>
      </c>
      <c r="DB88" s="24" t="s">
        <v>401</v>
      </c>
      <c r="DC88" s="24">
        <v>2</v>
      </c>
      <c r="DD88" s="24" t="s">
        <v>363</v>
      </c>
      <c r="DE88" s="24" t="s">
        <v>156</v>
      </c>
      <c r="DJ88" s="24" t="s">
        <v>1046</v>
      </c>
      <c r="DK88" s="24" t="s">
        <v>1047</v>
      </c>
    </row>
    <row r="89" spans="1:115" ht="22.5" customHeight="1" x14ac:dyDescent="0.2">
      <c r="A89" s="23">
        <v>46065.496185717595</v>
      </c>
      <c r="B89" s="24" t="s">
        <v>1048</v>
      </c>
      <c r="C89" s="24">
        <v>0</v>
      </c>
      <c r="D89" s="24" t="s">
        <v>1049</v>
      </c>
      <c r="E89" s="24" t="s">
        <v>1050</v>
      </c>
      <c r="F89" s="24" t="s">
        <v>163</v>
      </c>
      <c r="G89" s="24">
        <v>60</v>
      </c>
      <c r="H89" s="25" t="s">
        <v>1051</v>
      </c>
      <c r="I89" s="24" t="s">
        <v>275</v>
      </c>
      <c r="J89" s="24" t="s">
        <v>301</v>
      </c>
      <c r="K89" s="24" t="s">
        <v>135</v>
      </c>
      <c r="M89" s="24" t="s">
        <v>136</v>
      </c>
      <c r="N89" s="24" t="s">
        <v>240</v>
      </c>
      <c r="O89" s="24" t="s">
        <v>216</v>
      </c>
      <c r="P89" s="24" t="s">
        <v>156</v>
      </c>
      <c r="Q89" s="24" t="s">
        <v>293</v>
      </c>
      <c r="R89" s="24" t="s">
        <v>318</v>
      </c>
      <c r="S89" s="24" t="s">
        <v>277</v>
      </c>
      <c r="T89" s="24" t="s">
        <v>136</v>
      </c>
      <c r="U89" s="24" t="s">
        <v>335</v>
      </c>
      <c r="V89" s="24" t="s">
        <v>426</v>
      </c>
      <c r="AI89" s="24" t="s">
        <v>144</v>
      </c>
      <c r="AJ89" s="24" t="s">
        <v>136</v>
      </c>
      <c r="AK89" s="24" t="s">
        <v>136</v>
      </c>
      <c r="AL89" s="24" t="s">
        <v>156</v>
      </c>
      <c r="AM89" s="24" t="s">
        <v>136</v>
      </c>
      <c r="AN89" s="24" t="s">
        <v>156</v>
      </c>
      <c r="AO89" s="24" t="s">
        <v>136</v>
      </c>
      <c r="AP89" s="24" t="s">
        <v>136</v>
      </c>
      <c r="AQ89" s="24" t="s">
        <v>136</v>
      </c>
      <c r="BN89" s="24" t="s">
        <v>933</v>
      </c>
      <c r="BO89" s="24" t="s">
        <v>136</v>
      </c>
      <c r="BQ89" s="24" t="s">
        <v>1052</v>
      </c>
      <c r="BR89" s="24" t="s">
        <v>168</v>
      </c>
      <c r="BS89" s="24" t="s">
        <v>388</v>
      </c>
      <c r="BT89" s="24" t="s">
        <v>227</v>
      </c>
      <c r="CB89" s="24" t="s">
        <v>267</v>
      </c>
      <c r="CC89" s="24" t="s">
        <v>150</v>
      </c>
      <c r="CD89" s="24" t="s">
        <v>171</v>
      </c>
      <c r="CE89" s="24" t="s">
        <v>152</v>
      </c>
      <c r="CF89" s="24" t="s">
        <v>243</v>
      </c>
      <c r="CG89" s="24">
        <v>3</v>
      </c>
      <c r="CH89" s="24" t="s">
        <v>172</v>
      </c>
      <c r="CI89" s="24" t="s">
        <v>437</v>
      </c>
      <c r="CJ89" s="24" t="s">
        <v>136</v>
      </c>
      <c r="CK89" s="24" t="s">
        <v>430</v>
      </c>
      <c r="CL89" s="24">
        <v>2</v>
      </c>
      <c r="CM89" s="24">
        <v>2</v>
      </c>
      <c r="CN89" s="24">
        <v>3</v>
      </c>
      <c r="CO89" s="24">
        <v>4</v>
      </c>
      <c r="CP89" s="24">
        <v>3</v>
      </c>
      <c r="CQ89" s="24">
        <v>2</v>
      </c>
      <c r="CR89" s="24">
        <v>2</v>
      </c>
      <c r="CS89" s="24">
        <v>3</v>
      </c>
      <c r="CT89" s="24">
        <v>2</v>
      </c>
      <c r="CU89" s="24">
        <v>2</v>
      </c>
      <c r="CV89" s="24">
        <v>2</v>
      </c>
      <c r="CW89" s="24">
        <v>3</v>
      </c>
      <c r="CX89" s="24">
        <v>2</v>
      </c>
      <c r="CY89" s="24">
        <v>4</v>
      </c>
      <c r="CZ89" s="24">
        <v>2</v>
      </c>
      <c r="DA89" s="24">
        <v>3</v>
      </c>
      <c r="DB89" s="24" t="s">
        <v>401</v>
      </c>
      <c r="DC89" s="24">
        <v>2</v>
      </c>
      <c r="DD89" s="24" t="s">
        <v>744</v>
      </c>
      <c r="DE89" s="24" t="s">
        <v>136</v>
      </c>
      <c r="DF89" s="24">
        <v>2</v>
      </c>
      <c r="DG89" s="24">
        <v>3</v>
      </c>
      <c r="DH89" s="24">
        <v>3</v>
      </c>
      <c r="DI89" s="24" t="s">
        <v>1053</v>
      </c>
      <c r="DJ89" s="24" t="s">
        <v>262</v>
      </c>
      <c r="DK89" s="24" t="s">
        <v>1054</v>
      </c>
    </row>
    <row r="90" spans="1:115" ht="22.5" customHeight="1" x14ac:dyDescent="0.2">
      <c r="A90" s="23">
        <v>46065.497968310185</v>
      </c>
      <c r="B90" s="24" t="s">
        <v>1055</v>
      </c>
      <c r="C90" s="24">
        <v>0</v>
      </c>
      <c r="D90" s="24" t="s">
        <v>1056</v>
      </c>
      <c r="E90" s="24" t="s">
        <v>1057</v>
      </c>
      <c r="F90" s="24" t="s">
        <v>163</v>
      </c>
      <c r="G90" s="24">
        <v>60</v>
      </c>
      <c r="H90" s="25" t="s">
        <v>1058</v>
      </c>
      <c r="I90" s="24" t="s">
        <v>194</v>
      </c>
      <c r="J90" s="24" t="s">
        <v>133</v>
      </c>
      <c r="K90" s="24" t="s">
        <v>269</v>
      </c>
      <c r="M90" s="24" t="s">
        <v>136</v>
      </c>
      <c r="N90" s="24" t="s">
        <v>264</v>
      </c>
      <c r="O90" s="24" t="s">
        <v>216</v>
      </c>
      <c r="P90" s="24" t="s">
        <v>136</v>
      </c>
      <c r="Q90" s="24" t="s">
        <v>303</v>
      </c>
      <c r="R90" s="24" t="s">
        <v>270</v>
      </c>
      <c r="S90" s="24" t="s">
        <v>544</v>
      </c>
      <c r="T90" s="24" t="s">
        <v>136</v>
      </c>
      <c r="U90" s="24" t="s">
        <v>356</v>
      </c>
      <c r="V90" s="24" t="s">
        <v>426</v>
      </c>
      <c r="AI90" s="24" t="s">
        <v>219</v>
      </c>
      <c r="AJ90" s="24" t="s">
        <v>136</v>
      </c>
      <c r="AK90" s="24" t="s">
        <v>136</v>
      </c>
      <c r="AL90" s="24" t="s">
        <v>136</v>
      </c>
      <c r="AM90" s="24" t="s">
        <v>136</v>
      </c>
      <c r="AN90" s="24" t="s">
        <v>136</v>
      </c>
      <c r="AO90" s="24" t="s">
        <v>136</v>
      </c>
      <c r="AP90" s="24" t="s">
        <v>136</v>
      </c>
      <c r="AQ90" s="24" t="s">
        <v>136</v>
      </c>
      <c r="BF90" s="24" t="s">
        <v>167</v>
      </c>
      <c r="BG90" s="24" t="s">
        <v>136</v>
      </c>
      <c r="BH90" s="24" t="s">
        <v>1059</v>
      </c>
      <c r="BJ90" s="24" t="s">
        <v>136</v>
      </c>
      <c r="BK90" s="24" t="s">
        <v>221</v>
      </c>
      <c r="BL90" s="24" t="s">
        <v>986</v>
      </c>
      <c r="BM90" s="24" t="s">
        <v>967</v>
      </c>
      <c r="BN90" s="24" t="s">
        <v>167</v>
      </c>
      <c r="BO90" s="24" t="s">
        <v>156</v>
      </c>
      <c r="BQ90" s="24" t="s">
        <v>1060</v>
      </c>
      <c r="BR90" s="24" t="s">
        <v>146</v>
      </c>
      <c r="BS90" s="24" t="s">
        <v>272</v>
      </c>
      <c r="BT90" s="24" t="s">
        <v>227</v>
      </c>
      <c r="CB90" s="24" t="s">
        <v>267</v>
      </c>
      <c r="CC90" s="24" t="s">
        <v>351</v>
      </c>
      <c r="CD90" s="24" t="s">
        <v>171</v>
      </c>
      <c r="CE90" s="24" t="s">
        <v>204</v>
      </c>
      <c r="CF90" s="24" t="s">
        <v>243</v>
      </c>
      <c r="CG90" s="24">
        <v>2</v>
      </c>
      <c r="CH90" s="24" t="s">
        <v>422</v>
      </c>
      <c r="CI90" s="24" t="s">
        <v>590</v>
      </c>
      <c r="CJ90" s="24" t="s">
        <v>136</v>
      </c>
      <c r="CK90" s="24" t="s">
        <v>1061</v>
      </c>
      <c r="CL90" s="24">
        <v>4</v>
      </c>
      <c r="CM90" s="24">
        <v>4</v>
      </c>
      <c r="CN90" s="24">
        <v>4</v>
      </c>
      <c r="CO90" s="24">
        <v>4</v>
      </c>
      <c r="CP90" s="24">
        <v>5</v>
      </c>
      <c r="CQ90" s="24">
        <v>4</v>
      </c>
      <c r="CR90" s="24">
        <v>4</v>
      </c>
      <c r="CS90" s="24">
        <v>4</v>
      </c>
      <c r="CT90" s="24">
        <v>4</v>
      </c>
      <c r="CU90" s="24">
        <v>4</v>
      </c>
      <c r="CV90" s="24">
        <v>4</v>
      </c>
      <c r="CW90" s="24">
        <v>4</v>
      </c>
      <c r="CX90" s="24">
        <v>4</v>
      </c>
      <c r="CY90" s="24">
        <v>4</v>
      </c>
      <c r="CZ90" s="24">
        <v>4</v>
      </c>
      <c r="DA90" s="24">
        <v>4</v>
      </c>
      <c r="DB90" s="24" t="s">
        <v>1062</v>
      </c>
      <c r="DC90" s="24">
        <v>4</v>
      </c>
      <c r="DD90" s="24" t="s">
        <v>343</v>
      </c>
      <c r="DE90" s="24" t="s">
        <v>136</v>
      </c>
      <c r="DF90" s="24">
        <v>4</v>
      </c>
      <c r="DG90" s="24">
        <v>4</v>
      </c>
      <c r="DH90" s="24">
        <v>4</v>
      </c>
      <c r="DI90" s="24" t="s">
        <v>1063</v>
      </c>
      <c r="DJ90" s="24" t="s">
        <v>262</v>
      </c>
      <c r="DK90" s="24" t="s">
        <v>1064</v>
      </c>
    </row>
    <row r="91" spans="1:115" ht="22.5" customHeight="1" x14ac:dyDescent="0.2">
      <c r="A91" s="23">
        <v>46065.500633043979</v>
      </c>
      <c r="B91" s="24" t="s">
        <v>1065</v>
      </c>
      <c r="C91" s="24">
        <v>0</v>
      </c>
      <c r="D91" s="24" t="s">
        <v>1066</v>
      </c>
      <c r="E91" s="24" t="s">
        <v>1067</v>
      </c>
      <c r="F91" s="24" t="s">
        <v>163</v>
      </c>
      <c r="G91" s="24">
        <v>61</v>
      </c>
      <c r="H91" s="25" t="s">
        <v>1068</v>
      </c>
      <c r="I91" s="24" t="s">
        <v>194</v>
      </c>
      <c r="J91" s="24" t="s">
        <v>301</v>
      </c>
      <c r="K91" s="24" t="s">
        <v>135</v>
      </c>
      <c r="M91" s="24" t="s">
        <v>156</v>
      </c>
      <c r="N91" s="24" t="s">
        <v>215</v>
      </c>
      <c r="O91" s="24" t="s">
        <v>355</v>
      </c>
      <c r="P91" s="24" t="s">
        <v>156</v>
      </c>
      <c r="Q91" s="24" t="s">
        <v>215</v>
      </c>
      <c r="R91" s="24" t="s">
        <v>217</v>
      </c>
      <c r="S91" s="24" t="s">
        <v>277</v>
      </c>
      <c r="T91" s="24" t="s">
        <v>136</v>
      </c>
      <c r="U91" s="24" t="s">
        <v>693</v>
      </c>
      <c r="V91" s="24" t="s">
        <v>199</v>
      </c>
      <c r="AI91" s="24" t="s">
        <v>144</v>
      </c>
      <c r="AJ91" s="24" t="s">
        <v>136</v>
      </c>
      <c r="AK91" s="24" t="s">
        <v>136</v>
      </c>
      <c r="AL91" s="24" t="s">
        <v>136</v>
      </c>
      <c r="AM91" s="24" t="s">
        <v>136</v>
      </c>
      <c r="AN91" s="24" t="s">
        <v>156</v>
      </c>
      <c r="AO91" s="24" t="s">
        <v>156</v>
      </c>
      <c r="AP91" s="24" t="s">
        <v>156</v>
      </c>
      <c r="AQ91" s="24" t="s">
        <v>156</v>
      </c>
      <c r="BN91" s="24" t="s">
        <v>305</v>
      </c>
      <c r="BO91" s="24" t="s">
        <v>156</v>
      </c>
      <c r="BP91" s="24" t="s">
        <v>137</v>
      </c>
      <c r="BQ91" s="24" t="s">
        <v>771</v>
      </c>
      <c r="BR91" s="24" t="s">
        <v>226</v>
      </c>
      <c r="BS91" s="24" t="s">
        <v>169</v>
      </c>
      <c r="BT91" s="24" t="s">
        <v>227</v>
      </c>
      <c r="CB91" s="24" t="s">
        <v>149</v>
      </c>
      <c r="CC91" s="24" t="s">
        <v>150</v>
      </c>
      <c r="CD91" s="24" t="s">
        <v>229</v>
      </c>
      <c r="CE91" s="24" t="s">
        <v>152</v>
      </c>
      <c r="CF91" s="24" t="s">
        <v>153</v>
      </c>
      <c r="CG91" s="24">
        <v>2</v>
      </c>
      <c r="CH91" s="24" t="s">
        <v>244</v>
      </c>
      <c r="CI91" s="24" t="s">
        <v>287</v>
      </c>
      <c r="CJ91" s="24" t="s">
        <v>136</v>
      </c>
      <c r="CK91" s="24" t="s">
        <v>512</v>
      </c>
      <c r="CL91" s="24">
        <v>2</v>
      </c>
      <c r="CM91" s="24">
        <v>2</v>
      </c>
      <c r="CN91" s="24">
        <v>2</v>
      </c>
      <c r="CO91" s="24">
        <v>2</v>
      </c>
      <c r="CP91" s="24">
        <v>2</v>
      </c>
      <c r="CQ91" s="24">
        <v>2</v>
      </c>
      <c r="CR91" s="24">
        <v>2</v>
      </c>
      <c r="CS91" s="24">
        <v>2</v>
      </c>
      <c r="CT91" s="24">
        <v>2</v>
      </c>
      <c r="CU91" s="24">
        <v>2</v>
      </c>
      <c r="CV91" s="24">
        <v>2</v>
      </c>
      <c r="CW91" s="24">
        <v>2</v>
      </c>
      <c r="CX91" s="24">
        <v>2</v>
      </c>
      <c r="CY91" s="24">
        <v>2</v>
      </c>
      <c r="CZ91" s="24">
        <v>2</v>
      </c>
      <c r="DA91" s="24">
        <v>2</v>
      </c>
      <c r="DB91" s="24" t="s">
        <v>232</v>
      </c>
      <c r="DC91" s="24">
        <v>3</v>
      </c>
      <c r="DD91" s="24" t="s">
        <v>296</v>
      </c>
      <c r="DE91" s="24" t="s">
        <v>136</v>
      </c>
      <c r="DF91" s="24">
        <v>3</v>
      </c>
      <c r="DG91" s="24">
        <v>3</v>
      </c>
      <c r="DH91" s="24">
        <v>3</v>
      </c>
      <c r="DI91" s="24" t="s">
        <v>453</v>
      </c>
      <c r="DJ91" s="24" t="s">
        <v>378</v>
      </c>
      <c r="DK91" s="24" t="s">
        <v>137</v>
      </c>
    </row>
    <row r="92" spans="1:115" ht="22.5" customHeight="1" x14ac:dyDescent="0.2">
      <c r="A92" s="23">
        <v>46065.50170789352</v>
      </c>
      <c r="B92" s="24" t="s">
        <v>1069</v>
      </c>
      <c r="C92" s="24">
        <v>0</v>
      </c>
      <c r="D92" s="24" t="s">
        <v>1070</v>
      </c>
      <c r="E92" s="24" t="s">
        <v>1071</v>
      </c>
      <c r="F92" s="24" t="s">
        <v>128</v>
      </c>
      <c r="G92" s="24">
        <v>61</v>
      </c>
      <c r="H92" s="25" t="s">
        <v>1072</v>
      </c>
      <c r="I92" s="24" t="s">
        <v>194</v>
      </c>
      <c r="J92" s="24" t="s">
        <v>344</v>
      </c>
      <c r="K92" s="24" t="s">
        <v>345</v>
      </c>
      <c r="M92" s="24" t="s">
        <v>136</v>
      </c>
      <c r="N92" s="24" t="s">
        <v>240</v>
      </c>
      <c r="O92" s="24" t="s">
        <v>199</v>
      </c>
      <c r="P92" s="24" t="s">
        <v>136</v>
      </c>
      <c r="Q92" s="24" t="s">
        <v>502</v>
      </c>
      <c r="R92" s="24" t="s">
        <v>199</v>
      </c>
      <c r="S92" s="24" t="s">
        <v>544</v>
      </c>
      <c r="T92" s="24" t="s">
        <v>136</v>
      </c>
      <c r="U92" s="24" t="s">
        <v>241</v>
      </c>
      <c r="V92" s="24" t="s">
        <v>199</v>
      </c>
      <c r="AI92" s="24" t="s">
        <v>144</v>
      </c>
      <c r="AJ92" s="24" t="s">
        <v>136</v>
      </c>
      <c r="AK92" s="24" t="s">
        <v>136</v>
      </c>
      <c r="AL92" s="24" t="s">
        <v>156</v>
      </c>
      <c r="AM92" s="24" t="s">
        <v>156</v>
      </c>
      <c r="AN92" s="24" t="s">
        <v>156</v>
      </c>
      <c r="AO92" s="24" t="s">
        <v>156</v>
      </c>
      <c r="AP92" s="24" t="s">
        <v>136</v>
      </c>
      <c r="AQ92" s="24" t="s">
        <v>156</v>
      </c>
      <c r="BN92" s="24" t="s">
        <v>305</v>
      </c>
      <c r="BO92" s="24" t="s">
        <v>156</v>
      </c>
      <c r="BR92" s="24" t="s">
        <v>226</v>
      </c>
      <c r="BS92" s="24" t="s">
        <v>388</v>
      </c>
      <c r="BT92" s="24" t="s">
        <v>227</v>
      </c>
      <c r="CB92" s="24" t="s">
        <v>149</v>
      </c>
      <c r="CC92" s="24" t="s">
        <v>351</v>
      </c>
      <c r="CD92" s="24" t="s">
        <v>322</v>
      </c>
      <c r="CE92" s="24" t="s">
        <v>152</v>
      </c>
      <c r="CF92" s="24" t="s">
        <v>273</v>
      </c>
      <c r="CG92" s="24">
        <v>4</v>
      </c>
      <c r="CH92" s="24" t="s">
        <v>244</v>
      </c>
      <c r="CI92" s="24" t="s">
        <v>287</v>
      </c>
      <c r="CJ92" s="24" t="s">
        <v>136</v>
      </c>
      <c r="CK92" s="24" t="s">
        <v>328</v>
      </c>
      <c r="CL92" s="24">
        <v>1</v>
      </c>
      <c r="CM92" s="24">
        <v>1</v>
      </c>
      <c r="CN92" s="24">
        <v>3</v>
      </c>
      <c r="CO92" s="24">
        <v>4</v>
      </c>
      <c r="CP92" s="24">
        <v>1</v>
      </c>
      <c r="CQ92" s="24">
        <v>1</v>
      </c>
      <c r="CR92" s="24">
        <v>3</v>
      </c>
      <c r="CS92" s="24">
        <v>4</v>
      </c>
      <c r="CT92" s="24">
        <v>1</v>
      </c>
      <c r="CU92" s="24">
        <v>3</v>
      </c>
      <c r="CV92" s="24">
        <v>4</v>
      </c>
      <c r="CW92" s="24">
        <v>1</v>
      </c>
      <c r="CX92" s="24">
        <v>3</v>
      </c>
      <c r="CY92" s="24">
        <v>4</v>
      </c>
      <c r="CZ92" s="24">
        <v>3</v>
      </c>
      <c r="DA92" s="24">
        <v>2</v>
      </c>
      <c r="DB92" s="24" t="s">
        <v>295</v>
      </c>
      <c r="DC92" s="24">
        <v>3</v>
      </c>
      <c r="DD92" s="24" t="s">
        <v>261</v>
      </c>
      <c r="DE92" s="24" t="s">
        <v>136</v>
      </c>
      <c r="DF92" s="24">
        <v>4</v>
      </c>
      <c r="DG92" s="24">
        <v>4</v>
      </c>
      <c r="DH92" s="24">
        <v>4</v>
      </c>
      <c r="DI92" s="24" t="s">
        <v>1073</v>
      </c>
      <c r="DJ92" s="24" t="s">
        <v>210</v>
      </c>
      <c r="DK92" s="24" t="s">
        <v>137</v>
      </c>
    </row>
    <row r="93" spans="1:115" ht="22.5" customHeight="1" x14ac:dyDescent="0.2">
      <c r="A93" s="23">
        <v>46065.50186679398</v>
      </c>
      <c r="B93" s="24" t="s">
        <v>1074</v>
      </c>
      <c r="C93" s="24">
        <v>0</v>
      </c>
      <c r="D93" s="24" t="s">
        <v>1075</v>
      </c>
      <c r="E93" s="24" t="s">
        <v>1076</v>
      </c>
      <c r="F93" s="24" t="s">
        <v>128</v>
      </c>
      <c r="G93" s="24">
        <v>60</v>
      </c>
      <c r="H93" s="25" t="s">
        <v>1077</v>
      </c>
      <c r="I93" s="24" t="s">
        <v>194</v>
      </c>
      <c r="J93" s="24" t="s">
        <v>133</v>
      </c>
      <c r="K93" s="24" t="s">
        <v>345</v>
      </c>
      <c r="M93" s="24" t="s">
        <v>136</v>
      </c>
      <c r="N93" s="24" t="s">
        <v>198</v>
      </c>
      <c r="O93" s="24" t="s">
        <v>199</v>
      </c>
      <c r="P93" s="24" t="s">
        <v>156</v>
      </c>
      <c r="Q93" s="24" t="s">
        <v>215</v>
      </c>
      <c r="R93" s="24" t="s">
        <v>217</v>
      </c>
      <c r="S93" s="24" t="s">
        <v>266</v>
      </c>
      <c r="T93" s="24" t="s">
        <v>136</v>
      </c>
      <c r="U93" s="24" t="s">
        <v>256</v>
      </c>
      <c r="V93" s="24" t="s">
        <v>199</v>
      </c>
      <c r="AI93" s="24" t="s">
        <v>203</v>
      </c>
      <c r="AJ93" s="24" t="s">
        <v>136</v>
      </c>
      <c r="AK93" s="24" t="s">
        <v>136</v>
      </c>
      <c r="AL93" s="24" t="s">
        <v>136</v>
      </c>
      <c r="AM93" s="24" t="s">
        <v>136</v>
      </c>
      <c r="AN93" s="24" t="s">
        <v>136</v>
      </c>
      <c r="AO93" s="24" t="s">
        <v>156</v>
      </c>
      <c r="AP93" s="24" t="s">
        <v>136</v>
      </c>
      <c r="AQ93" s="24" t="s">
        <v>136</v>
      </c>
      <c r="CB93" s="24" t="s">
        <v>267</v>
      </c>
      <c r="CC93" s="24" t="s">
        <v>150</v>
      </c>
      <c r="CD93" s="24" t="s">
        <v>229</v>
      </c>
      <c r="CE93" s="24" t="s">
        <v>152</v>
      </c>
      <c r="CF93" s="24" t="s">
        <v>153</v>
      </c>
      <c r="CG93" s="24">
        <v>4</v>
      </c>
      <c r="CH93" s="24" t="s">
        <v>154</v>
      </c>
      <c r="CI93" s="24" t="s">
        <v>309</v>
      </c>
      <c r="CJ93" s="24" t="s">
        <v>136</v>
      </c>
      <c r="CK93" s="24" t="s">
        <v>231</v>
      </c>
      <c r="CL93" s="24">
        <v>2</v>
      </c>
      <c r="CM93" s="24">
        <v>2</v>
      </c>
      <c r="CN93" s="24">
        <v>2</v>
      </c>
      <c r="CO93" s="24">
        <v>4</v>
      </c>
      <c r="CP93" s="24">
        <v>2</v>
      </c>
      <c r="CQ93" s="24">
        <v>1</v>
      </c>
      <c r="CR93" s="24">
        <v>3</v>
      </c>
      <c r="CS93" s="24">
        <v>4</v>
      </c>
      <c r="CT93" s="24">
        <v>3</v>
      </c>
      <c r="CU93" s="24">
        <v>4</v>
      </c>
      <c r="CV93" s="24">
        <v>4</v>
      </c>
      <c r="CW93" s="24">
        <v>1</v>
      </c>
      <c r="CX93" s="24">
        <v>3</v>
      </c>
      <c r="CY93" s="24">
        <v>3</v>
      </c>
      <c r="CZ93" s="24">
        <v>3</v>
      </c>
      <c r="DA93" s="24">
        <v>1</v>
      </c>
      <c r="DB93" s="24" t="s">
        <v>247</v>
      </c>
      <c r="DC93" s="24">
        <v>2</v>
      </c>
      <c r="DD93" s="24" t="s">
        <v>1078</v>
      </c>
      <c r="DE93" s="24" t="s">
        <v>136</v>
      </c>
      <c r="DF93" s="24">
        <v>3</v>
      </c>
      <c r="DG93" s="24">
        <v>3</v>
      </c>
      <c r="DH93" s="24">
        <v>3</v>
      </c>
      <c r="DI93" s="24" t="s">
        <v>1079</v>
      </c>
      <c r="DJ93" s="24" t="s">
        <v>159</v>
      </c>
      <c r="DK93" s="24" t="s">
        <v>137</v>
      </c>
    </row>
    <row r="94" spans="1:115" ht="22.5" customHeight="1" x14ac:dyDescent="0.2">
      <c r="A94" s="23">
        <v>46065.501943113428</v>
      </c>
      <c r="B94" s="24" t="s">
        <v>1080</v>
      </c>
      <c r="C94" s="24">
        <v>0</v>
      </c>
      <c r="D94" s="24" t="s">
        <v>1081</v>
      </c>
      <c r="E94" s="24" t="s">
        <v>1082</v>
      </c>
      <c r="F94" s="24" t="s">
        <v>163</v>
      </c>
      <c r="G94" s="24">
        <v>60</v>
      </c>
      <c r="H94" s="25" t="s">
        <v>1083</v>
      </c>
      <c r="I94" s="24" t="s">
        <v>194</v>
      </c>
      <c r="J94" s="24" t="s">
        <v>301</v>
      </c>
      <c r="K94" s="24" t="s">
        <v>135</v>
      </c>
      <c r="M94" s="24" t="s">
        <v>136</v>
      </c>
      <c r="N94" s="24" t="s">
        <v>240</v>
      </c>
      <c r="O94" s="24" t="s">
        <v>199</v>
      </c>
      <c r="P94" s="24" t="s">
        <v>136</v>
      </c>
      <c r="Q94" s="24" t="s">
        <v>502</v>
      </c>
      <c r="R94" s="24" t="s">
        <v>199</v>
      </c>
      <c r="S94" s="24" t="s">
        <v>266</v>
      </c>
      <c r="T94" s="24" t="s">
        <v>136</v>
      </c>
      <c r="U94" s="24" t="s">
        <v>241</v>
      </c>
      <c r="V94" s="24" t="s">
        <v>199</v>
      </c>
      <c r="AI94" s="24" t="s">
        <v>319</v>
      </c>
      <c r="AJ94" s="24" t="s">
        <v>136</v>
      </c>
      <c r="AK94" s="24" t="s">
        <v>136</v>
      </c>
      <c r="AL94" s="24" t="s">
        <v>136</v>
      </c>
      <c r="AM94" s="24" t="s">
        <v>136</v>
      </c>
      <c r="AN94" s="24" t="s">
        <v>136</v>
      </c>
      <c r="AO94" s="24" t="s">
        <v>136</v>
      </c>
      <c r="AP94" s="24" t="s">
        <v>136</v>
      </c>
      <c r="AQ94" s="24" t="s">
        <v>136</v>
      </c>
      <c r="AY94" s="24" t="s">
        <v>305</v>
      </c>
      <c r="AZ94" s="24" t="s">
        <v>156</v>
      </c>
      <c r="BB94" s="24" t="s">
        <v>1084</v>
      </c>
      <c r="BC94" s="24" t="s">
        <v>320</v>
      </c>
      <c r="BD94" s="24" t="s">
        <v>372</v>
      </c>
      <c r="BE94" s="24" t="s">
        <v>410</v>
      </c>
      <c r="CB94" s="24" t="s">
        <v>267</v>
      </c>
      <c r="CC94" s="24" t="s">
        <v>150</v>
      </c>
      <c r="CD94" s="24" t="s">
        <v>171</v>
      </c>
      <c r="CE94" s="24" t="s">
        <v>152</v>
      </c>
      <c r="CF94" s="24" t="s">
        <v>243</v>
      </c>
      <c r="CG94" s="24">
        <v>4</v>
      </c>
      <c r="CH94" s="24" t="s">
        <v>286</v>
      </c>
      <c r="CI94" s="24" t="s">
        <v>287</v>
      </c>
      <c r="CJ94" s="24" t="s">
        <v>136</v>
      </c>
      <c r="CK94" s="24" t="s">
        <v>231</v>
      </c>
      <c r="CL94" s="24">
        <v>1</v>
      </c>
      <c r="CM94" s="24">
        <v>1</v>
      </c>
      <c r="CN94" s="24">
        <v>4</v>
      </c>
      <c r="CO94" s="24">
        <v>4</v>
      </c>
      <c r="CP94" s="24">
        <v>2</v>
      </c>
      <c r="CQ94" s="24">
        <v>2</v>
      </c>
      <c r="CR94" s="24">
        <v>2</v>
      </c>
      <c r="CS94" s="24">
        <v>2</v>
      </c>
      <c r="CT94" s="24">
        <v>2</v>
      </c>
      <c r="CU94" s="24">
        <v>4</v>
      </c>
      <c r="CV94" s="24">
        <v>4</v>
      </c>
      <c r="CW94" s="24">
        <v>1</v>
      </c>
      <c r="CX94" s="24">
        <v>3</v>
      </c>
      <c r="CY94" s="24">
        <v>3</v>
      </c>
      <c r="CZ94" s="24">
        <v>2</v>
      </c>
      <c r="DA94" s="24">
        <v>2</v>
      </c>
      <c r="DB94" s="24" t="s">
        <v>431</v>
      </c>
      <c r="DC94" s="24">
        <v>4</v>
      </c>
      <c r="DD94" s="24" t="s">
        <v>433</v>
      </c>
      <c r="DE94" s="24" t="s">
        <v>156</v>
      </c>
      <c r="DJ94" s="24" t="s">
        <v>442</v>
      </c>
      <c r="DK94" s="24" t="s">
        <v>1085</v>
      </c>
    </row>
    <row r="95" spans="1:115" ht="22.5" customHeight="1" x14ac:dyDescent="0.2">
      <c r="A95" s="23">
        <v>46065.505382083335</v>
      </c>
      <c r="B95" s="24" t="s">
        <v>1086</v>
      </c>
      <c r="C95" s="24">
        <v>0</v>
      </c>
      <c r="D95" s="24" t="s">
        <v>1087</v>
      </c>
      <c r="E95" s="24" t="s">
        <v>1088</v>
      </c>
      <c r="F95" s="24" t="s">
        <v>128</v>
      </c>
      <c r="G95" s="24">
        <v>60</v>
      </c>
      <c r="H95" s="25" t="s">
        <v>1089</v>
      </c>
      <c r="I95" s="24" t="s">
        <v>194</v>
      </c>
      <c r="J95" s="24" t="s">
        <v>301</v>
      </c>
      <c r="K95" s="24" t="s">
        <v>345</v>
      </c>
      <c r="M95" s="24" t="s">
        <v>136</v>
      </c>
      <c r="N95" s="24" t="s">
        <v>240</v>
      </c>
      <c r="O95" s="24" t="s">
        <v>199</v>
      </c>
      <c r="P95" s="24" t="s">
        <v>156</v>
      </c>
      <c r="Q95" s="24" t="s">
        <v>215</v>
      </c>
      <c r="R95" s="24" t="s">
        <v>318</v>
      </c>
      <c r="S95" s="24" t="s">
        <v>266</v>
      </c>
      <c r="T95" s="24" t="s">
        <v>136</v>
      </c>
      <c r="U95" s="24" t="s">
        <v>241</v>
      </c>
      <c r="V95" s="24" t="s">
        <v>199</v>
      </c>
      <c r="AI95" s="24" t="s">
        <v>144</v>
      </c>
      <c r="AJ95" s="24" t="s">
        <v>136</v>
      </c>
      <c r="AK95" s="24" t="s">
        <v>136</v>
      </c>
      <c r="AL95" s="24" t="s">
        <v>136</v>
      </c>
      <c r="AM95" s="24" t="s">
        <v>156</v>
      </c>
      <c r="AN95" s="24" t="s">
        <v>136</v>
      </c>
      <c r="AO95" s="24" t="s">
        <v>136</v>
      </c>
      <c r="AP95" s="24" t="s">
        <v>136</v>
      </c>
      <c r="AQ95" s="24" t="s">
        <v>136</v>
      </c>
      <c r="BN95" s="24" t="s">
        <v>167</v>
      </c>
      <c r="BO95" s="24" t="s">
        <v>136</v>
      </c>
      <c r="BP95" s="24" t="s">
        <v>1090</v>
      </c>
      <c r="BR95" s="24" t="s">
        <v>168</v>
      </c>
      <c r="BS95" s="24" t="s">
        <v>169</v>
      </c>
      <c r="BT95" s="24" t="s">
        <v>227</v>
      </c>
      <c r="CB95" s="24" t="s">
        <v>149</v>
      </c>
      <c r="CC95" s="24" t="s">
        <v>150</v>
      </c>
      <c r="CD95" s="24" t="s">
        <v>151</v>
      </c>
      <c r="CE95" s="24" t="s">
        <v>152</v>
      </c>
      <c r="CF95" s="24" t="s">
        <v>153</v>
      </c>
      <c r="CG95" s="24">
        <v>4</v>
      </c>
      <c r="CH95" s="24" t="s">
        <v>154</v>
      </c>
      <c r="CI95" s="24" t="s">
        <v>155</v>
      </c>
      <c r="CJ95" s="24" t="s">
        <v>136</v>
      </c>
      <c r="CK95" s="24" t="s">
        <v>246</v>
      </c>
      <c r="CL95" s="24">
        <v>3</v>
      </c>
      <c r="CM95" s="24">
        <v>3</v>
      </c>
      <c r="CN95" s="24">
        <v>3</v>
      </c>
      <c r="CO95" s="24">
        <v>4</v>
      </c>
      <c r="CP95" s="24">
        <v>3</v>
      </c>
      <c r="CQ95" s="24">
        <v>3</v>
      </c>
      <c r="CR95" s="24">
        <v>4</v>
      </c>
      <c r="CS95" s="24">
        <v>4</v>
      </c>
      <c r="CT95" s="24">
        <v>2</v>
      </c>
      <c r="CU95" s="24">
        <v>2</v>
      </c>
      <c r="CV95" s="24">
        <v>4</v>
      </c>
      <c r="CW95" s="24">
        <v>3</v>
      </c>
      <c r="CX95" s="24">
        <v>4</v>
      </c>
      <c r="CY95" s="24">
        <v>4</v>
      </c>
      <c r="CZ95" s="24">
        <v>3</v>
      </c>
      <c r="DA95" s="24">
        <v>3</v>
      </c>
      <c r="DB95" s="24" t="s">
        <v>247</v>
      </c>
      <c r="DC95" s="24">
        <v>3</v>
      </c>
      <c r="DD95" s="24" t="s">
        <v>325</v>
      </c>
      <c r="DE95" s="24" t="s">
        <v>136</v>
      </c>
      <c r="DF95" s="24">
        <v>3</v>
      </c>
      <c r="DG95" s="24">
        <v>3</v>
      </c>
      <c r="DH95" s="24">
        <v>3</v>
      </c>
      <c r="DI95" s="24" t="s">
        <v>866</v>
      </c>
      <c r="DJ95" s="24" t="s">
        <v>603</v>
      </c>
      <c r="DK95" s="24" t="s">
        <v>941</v>
      </c>
    </row>
    <row r="96" spans="1:115" ht="22.5" customHeight="1" x14ac:dyDescent="0.2">
      <c r="A96" s="23">
        <v>46065.507324143517</v>
      </c>
      <c r="B96" s="24" t="s">
        <v>1091</v>
      </c>
      <c r="C96" s="24">
        <v>0</v>
      </c>
      <c r="D96" s="24" t="s">
        <v>1092</v>
      </c>
      <c r="E96" s="24" t="s">
        <v>1093</v>
      </c>
      <c r="F96" s="24" t="s">
        <v>163</v>
      </c>
      <c r="G96" s="24">
        <v>60</v>
      </c>
      <c r="H96" s="25" t="s">
        <v>1094</v>
      </c>
      <c r="I96" s="24" t="s">
        <v>194</v>
      </c>
      <c r="J96" s="24" t="s">
        <v>301</v>
      </c>
      <c r="K96" s="24" t="s">
        <v>135</v>
      </c>
      <c r="M96" s="24" t="s">
        <v>136</v>
      </c>
      <c r="N96" s="24" t="s">
        <v>264</v>
      </c>
      <c r="O96" s="24" t="s">
        <v>216</v>
      </c>
      <c r="P96" s="24" t="s">
        <v>136</v>
      </c>
      <c r="Q96" s="24" t="s">
        <v>254</v>
      </c>
      <c r="R96" s="24" t="s">
        <v>318</v>
      </c>
      <c r="S96" s="24" t="s">
        <v>544</v>
      </c>
      <c r="T96" s="24" t="s">
        <v>136</v>
      </c>
      <c r="U96" s="24" t="s">
        <v>256</v>
      </c>
      <c r="V96" s="24" t="s">
        <v>899</v>
      </c>
      <c r="AI96" s="24" t="s">
        <v>466</v>
      </c>
      <c r="AJ96" s="24" t="s">
        <v>136</v>
      </c>
      <c r="AK96" s="24" t="s">
        <v>136</v>
      </c>
      <c r="AL96" s="24" t="s">
        <v>136</v>
      </c>
      <c r="AM96" s="24" t="s">
        <v>136</v>
      </c>
      <c r="AN96" s="24" t="s">
        <v>136</v>
      </c>
      <c r="AO96" s="24" t="s">
        <v>136</v>
      </c>
      <c r="AP96" s="24" t="s">
        <v>136</v>
      </c>
      <c r="AQ96" s="24" t="s">
        <v>136</v>
      </c>
      <c r="AR96" s="24" t="s">
        <v>167</v>
      </c>
      <c r="AS96" s="24" t="s">
        <v>156</v>
      </c>
      <c r="AU96" s="24" t="s">
        <v>1095</v>
      </c>
      <c r="AV96" s="24" t="s">
        <v>671</v>
      </c>
      <c r="AW96" s="24" t="s">
        <v>1096</v>
      </c>
      <c r="AX96" s="24" t="s">
        <v>406</v>
      </c>
      <c r="CB96" s="24" t="s">
        <v>149</v>
      </c>
      <c r="CC96" s="24" t="s">
        <v>150</v>
      </c>
      <c r="CD96" s="24" t="s">
        <v>171</v>
      </c>
      <c r="CE96" s="24" t="s">
        <v>152</v>
      </c>
      <c r="CF96" s="24" t="s">
        <v>273</v>
      </c>
      <c r="CG96" s="24">
        <v>4</v>
      </c>
      <c r="CH96" s="24" t="s">
        <v>172</v>
      </c>
      <c r="CI96" s="24" t="s">
        <v>155</v>
      </c>
      <c r="CJ96" s="24" t="s">
        <v>156</v>
      </c>
      <c r="CK96" s="24" t="s">
        <v>231</v>
      </c>
      <c r="CL96" s="24">
        <v>1</v>
      </c>
      <c r="CM96" s="24">
        <v>1</v>
      </c>
      <c r="CN96" s="24">
        <v>1</v>
      </c>
      <c r="CO96" s="24">
        <v>1</v>
      </c>
      <c r="CP96" s="24">
        <v>1</v>
      </c>
      <c r="CQ96" s="24">
        <v>1</v>
      </c>
      <c r="CR96" s="24">
        <v>1</v>
      </c>
      <c r="CS96" s="24">
        <v>1</v>
      </c>
      <c r="CT96" s="24">
        <v>1</v>
      </c>
      <c r="CU96" s="24">
        <v>1</v>
      </c>
      <c r="CV96" s="24">
        <v>1</v>
      </c>
      <c r="CW96" s="24">
        <v>1</v>
      </c>
      <c r="CX96" s="24">
        <v>1</v>
      </c>
      <c r="CY96" s="24">
        <v>1</v>
      </c>
      <c r="CZ96" s="24">
        <v>1</v>
      </c>
      <c r="DA96" s="24">
        <v>1</v>
      </c>
      <c r="DB96" s="24" t="s">
        <v>401</v>
      </c>
      <c r="DC96" s="24">
        <v>1</v>
      </c>
      <c r="DD96" s="24" t="s">
        <v>1019</v>
      </c>
      <c r="DE96" s="24" t="s">
        <v>156</v>
      </c>
      <c r="DJ96" s="24" t="s">
        <v>390</v>
      </c>
      <c r="DK96" s="24" t="s">
        <v>1097</v>
      </c>
    </row>
    <row r="97" spans="1:115" ht="22.5" customHeight="1" x14ac:dyDescent="0.2">
      <c r="A97" s="23">
        <v>46065.507746053241</v>
      </c>
      <c r="B97" s="24" t="s">
        <v>1098</v>
      </c>
      <c r="C97" s="24">
        <v>0</v>
      </c>
      <c r="D97" s="24" t="s">
        <v>1099</v>
      </c>
      <c r="E97" s="24" t="s">
        <v>1100</v>
      </c>
      <c r="F97" s="24" t="s">
        <v>128</v>
      </c>
      <c r="G97" s="24">
        <v>60</v>
      </c>
      <c r="H97" s="25" t="s">
        <v>1101</v>
      </c>
      <c r="I97" s="24" t="s">
        <v>194</v>
      </c>
      <c r="J97" s="24" t="s">
        <v>133</v>
      </c>
      <c r="K97" s="24" t="s">
        <v>135</v>
      </c>
      <c r="M97" s="24" t="s">
        <v>136</v>
      </c>
      <c r="N97" s="24" t="s">
        <v>425</v>
      </c>
      <c r="O97" s="24" t="s">
        <v>355</v>
      </c>
      <c r="P97" s="24" t="s">
        <v>136</v>
      </c>
      <c r="Q97" s="24" t="s">
        <v>254</v>
      </c>
      <c r="R97" s="24" t="s">
        <v>270</v>
      </c>
      <c r="S97" s="24" t="s">
        <v>544</v>
      </c>
      <c r="T97" s="24" t="s">
        <v>136</v>
      </c>
      <c r="U97" s="24" t="s">
        <v>241</v>
      </c>
      <c r="V97" s="24" t="s">
        <v>985</v>
      </c>
      <c r="AI97" s="24" t="s">
        <v>304</v>
      </c>
      <c r="AJ97" s="24" t="s">
        <v>156</v>
      </c>
      <c r="AK97" s="24" t="s">
        <v>156</v>
      </c>
      <c r="AL97" s="24" t="s">
        <v>136</v>
      </c>
      <c r="AM97" s="24" t="s">
        <v>136</v>
      </c>
      <c r="AN97" s="24" t="s">
        <v>136</v>
      </c>
      <c r="AO97" s="24" t="s">
        <v>156</v>
      </c>
      <c r="AP97" s="24" t="s">
        <v>136</v>
      </c>
      <c r="AQ97" s="24" t="s">
        <v>136</v>
      </c>
      <c r="BU97" s="24" t="s">
        <v>933</v>
      </c>
      <c r="BV97" s="24" t="s">
        <v>156</v>
      </c>
      <c r="BY97" s="24" t="s">
        <v>306</v>
      </c>
      <c r="BZ97" s="24" t="s">
        <v>337</v>
      </c>
      <c r="CA97" s="24" t="s">
        <v>338</v>
      </c>
      <c r="CB97" s="24" t="s">
        <v>149</v>
      </c>
      <c r="CC97" s="24" t="s">
        <v>351</v>
      </c>
      <c r="CD97" s="24" t="s">
        <v>229</v>
      </c>
      <c r="CE97" s="24" t="s">
        <v>152</v>
      </c>
      <c r="CF97" s="24" t="s">
        <v>243</v>
      </c>
      <c r="CG97" s="24">
        <v>4</v>
      </c>
      <c r="CH97" s="24" t="s">
        <v>172</v>
      </c>
      <c r="CI97" s="24" t="s">
        <v>916</v>
      </c>
      <c r="CJ97" s="24" t="s">
        <v>136</v>
      </c>
      <c r="CK97" s="24" t="s">
        <v>231</v>
      </c>
      <c r="CL97" s="24">
        <v>3</v>
      </c>
      <c r="CM97" s="24">
        <v>3</v>
      </c>
      <c r="CN97" s="24">
        <v>2</v>
      </c>
      <c r="CO97" s="24">
        <v>2</v>
      </c>
      <c r="CP97" s="24">
        <v>2</v>
      </c>
      <c r="CQ97" s="24">
        <v>2</v>
      </c>
      <c r="CR97" s="24">
        <v>2</v>
      </c>
      <c r="CS97" s="24">
        <v>2</v>
      </c>
      <c r="CT97" s="24">
        <v>2</v>
      </c>
      <c r="CU97" s="24">
        <v>2</v>
      </c>
      <c r="CV97" s="24">
        <v>3</v>
      </c>
      <c r="CW97" s="24">
        <v>3</v>
      </c>
      <c r="CX97" s="24">
        <v>2</v>
      </c>
      <c r="CY97" s="24">
        <v>2</v>
      </c>
      <c r="CZ97" s="24">
        <v>3</v>
      </c>
      <c r="DA97" s="24">
        <v>3</v>
      </c>
      <c r="DB97" s="24" t="s">
        <v>1102</v>
      </c>
      <c r="DC97" s="24">
        <v>4</v>
      </c>
      <c r="DD97" s="24" t="s">
        <v>1103</v>
      </c>
      <c r="DE97" s="24" t="s">
        <v>136</v>
      </c>
      <c r="DF97" s="24">
        <v>2</v>
      </c>
      <c r="DG97" s="24">
        <v>2</v>
      </c>
      <c r="DH97" s="24">
        <v>2</v>
      </c>
      <c r="DI97" s="24" t="s">
        <v>1104</v>
      </c>
      <c r="DJ97" s="24" t="s">
        <v>902</v>
      </c>
      <c r="DK97" s="24" t="s">
        <v>137</v>
      </c>
    </row>
    <row r="98" spans="1:115" ht="22.5" customHeight="1" x14ac:dyDescent="0.2">
      <c r="A98" s="23">
        <v>46065.508259699069</v>
      </c>
      <c r="B98" s="24" t="s">
        <v>1105</v>
      </c>
      <c r="C98" s="24">
        <v>0</v>
      </c>
      <c r="D98" s="24" t="s">
        <v>1106</v>
      </c>
      <c r="E98" s="24" t="s">
        <v>1107</v>
      </c>
      <c r="F98" s="24" t="s">
        <v>128</v>
      </c>
      <c r="G98" s="24">
        <v>60</v>
      </c>
      <c r="H98" s="25" t="s">
        <v>1108</v>
      </c>
      <c r="I98" s="24" t="s">
        <v>194</v>
      </c>
      <c r="J98" s="24" t="s">
        <v>133</v>
      </c>
      <c r="K98" s="24" t="s">
        <v>196</v>
      </c>
      <c r="M98" s="24" t="s">
        <v>136</v>
      </c>
      <c r="N98" s="24" t="s">
        <v>425</v>
      </c>
      <c r="O98" s="24" t="s">
        <v>199</v>
      </c>
      <c r="P98" s="24" t="s">
        <v>136</v>
      </c>
      <c r="Q98" s="24" t="s">
        <v>254</v>
      </c>
      <c r="R98" s="24" t="s">
        <v>318</v>
      </c>
      <c r="S98" s="24" t="s">
        <v>277</v>
      </c>
      <c r="T98" s="24" t="s">
        <v>136</v>
      </c>
      <c r="U98" s="24" t="s">
        <v>241</v>
      </c>
      <c r="V98" s="24" t="s">
        <v>426</v>
      </c>
      <c r="AI98" s="24" t="s">
        <v>219</v>
      </c>
      <c r="AJ98" s="24" t="s">
        <v>136</v>
      </c>
      <c r="AK98" s="24" t="s">
        <v>136</v>
      </c>
      <c r="AL98" s="24" t="s">
        <v>136</v>
      </c>
      <c r="AM98" s="24" t="s">
        <v>136</v>
      </c>
      <c r="AN98" s="24" t="s">
        <v>136</v>
      </c>
      <c r="AO98" s="24" t="s">
        <v>136</v>
      </c>
      <c r="AP98" s="24" t="s">
        <v>136</v>
      </c>
      <c r="AQ98" s="24" t="s">
        <v>156</v>
      </c>
      <c r="BF98" s="24" t="s">
        <v>933</v>
      </c>
      <c r="BG98" s="24" t="s">
        <v>136</v>
      </c>
      <c r="BH98" s="24" t="s">
        <v>1109</v>
      </c>
      <c r="BI98" s="24" t="s">
        <v>137</v>
      </c>
      <c r="BJ98" s="24" t="s">
        <v>136</v>
      </c>
      <c r="BK98" s="24" t="s">
        <v>1110</v>
      </c>
      <c r="BL98" s="24" t="s">
        <v>509</v>
      </c>
      <c r="BM98" s="24" t="s">
        <v>223</v>
      </c>
      <c r="BN98" s="24" t="s">
        <v>346</v>
      </c>
      <c r="BO98" s="24" t="s">
        <v>136</v>
      </c>
      <c r="BP98" s="24" t="s">
        <v>137</v>
      </c>
      <c r="BQ98" s="24" t="s">
        <v>137</v>
      </c>
      <c r="BR98" s="24" t="s">
        <v>146</v>
      </c>
      <c r="BS98" s="24" t="s">
        <v>169</v>
      </c>
      <c r="BT98" s="24" t="s">
        <v>227</v>
      </c>
      <c r="CB98" s="24" t="s">
        <v>228</v>
      </c>
      <c r="CC98" s="24" t="s">
        <v>150</v>
      </c>
      <c r="CD98" s="24" t="s">
        <v>171</v>
      </c>
      <c r="CE98" s="24" t="s">
        <v>204</v>
      </c>
      <c r="CF98" s="24" t="s">
        <v>273</v>
      </c>
      <c r="CG98" s="24">
        <v>3</v>
      </c>
      <c r="CH98" s="24" t="s">
        <v>434</v>
      </c>
      <c r="CI98" s="24" t="s">
        <v>590</v>
      </c>
      <c r="CJ98" s="24" t="s">
        <v>136</v>
      </c>
      <c r="CK98" s="24" t="s">
        <v>362</v>
      </c>
      <c r="CL98" s="24">
        <v>3</v>
      </c>
      <c r="CM98" s="24">
        <v>3</v>
      </c>
      <c r="CN98" s="24">
        <v>4</v>
      </c>
      <c r="CO98" s="24">
        <v>2</v>
      </c>
      <c r="CP98" s="24">
        <v>4</v>
      </c>
      <c r="CQ98" s="24">
        <v>3</v>
      </c>
      <c r="CR98" s="24">
        <v>3</v>
      </c>
      <c r="CS98" s="24">
        <v>3</v>
      </c>
      <c r="CT98" s="24">
        <v>3</v>
      </c>
      <c r="CU98" s="24">
        <v>3</v>
      </c>
      <c r="CV98" s="24">
        <v>3</v>
      </c>
      <c r="CW98" s="24">
        <v>3</v>
      </c>
      <c r="CX98" s="24">
        <v>4</v>
      </c>
      <c r="CY98" s="24">
        <v>4</v>
      </c>
      <c r="CZ98" s="24">
        <v>3</v>
      </c>
      <c r="DA98" s="24">
        <v>4</v>
      </c>
      <c r="DB98" s="24" t="s">
        <v>1102</v>
      </c>
      <c r="DC98" s="24">
        <v>4</v>
      </c>
      <c r="DD98" s="24" t="s">
        <v>1111</v>
      </c>
      <c r="DE98" s="24" t="s">
        <v>136</v>
      </c>
      <c r="DF98" s="24">
        <v>2</v>
      </c>
      <c r="DG98" s="24">
        <v>3</v>
      </c>
      <c r="DH98" s="24">
        <v>3</v>
      </c>
      <c r="DI98" s="24" t="s">
        <v>1112</v>
      </c>
      <c r="DJ98" s="24" t="s">
        <v>435</v>
      </c>
      <c r="DK98" s="24" t="s">
        <v>1113</v>
      </c>
    </row>
    <row r="99" spans="1:115" ht="22.5" customHeight="1" x14ac:dyDescent="0.2">
      <c r="A99" s="23">
        <v>46065.509578877318</v>
      </c>
      <c r="B99" s="24" t="s">
        <v>1114</v>
      </c>
      <c r="C99" s="24">
        <v>0</v>
      </c>
      <c r="D99" s="24" t="s">
        <v>1115</v>
      </c>
      <c r="E99" s="24" t="s">
        <v>1116</v>
      </c>
      <c r="F99" s="24" t="s">
        <v>128</v>
      </c>
      <c r="G99" s="24">
        <v>59</v>
      </c>
      <c r="H99" s="25" t="s">
        <v>1117</v>
      </c>
      <c r="I99" s="24" t="s">
        <v>194</v>
      </c>
      <c r="J99" s="24" t="s">
        <v>133</v>
      </c>
      <c r="K99" s="24" t="s">
        <v>135</v>
      </c>
      <c r="M99" s="24" t="s">
        <v>136</v>
      </c>
      <c r="N99" s="24" t="s">
        <v>240</v>
      </c>
      <c r="O99" s="24" t="s">
        <v>199</v>
      </c>
      <c r="P99" s="24" t="s">
        <v>136</v>
      </c>
      <c r="Q99" s="24" t="s">
        <v>254</v>
      </c>
      <c r="R99" s="24" t="s">
        <v>199</v>
      </c>
      <c r="S99" s="24" t="s">
        <v>544</v>
      </c>
      <c r="T99" s="24" t="s">
        <v>156</v>
      </c>
      <c r="U99" s="24" t="s">
        <v>356</v>
      </c>
      <c r="V99" s="24" t="s">
        <v>199</v>
      </c>
      <c r="W99" s="24" t="s">
        <v>459</v>
      </c>
      <c r="X99" s="24" t="s">
        <v>1118</v>
      </c>
      <c r="Y99" s="24" t="s">
        <v>1119</v>
      </c>
      <c r="Z99" s="24" t="s">
        <v>136</v>
      </c>
      <c r="AA99" s="24" t="s">
        <v>136</v>
      </c>
      <c r="AB99" s="24" t="s">
        <v>136</v>
      </c>
      <c r="AC99" s="24" t="s">
        <v>156</v>
      </c>
      <c r="AD99" s="24" t="s">
        <v>156</v>
      </c>
      <c r="AE99" s="24" t="s">
        <v>136</v>
      </c>
      <c r="AF99" s="24" t="s">
        <v>136</v>
      </c>
      <c r="AG99" s="24" t="s">
        <v>156</v>
      </c>
      <c r="AH99" s="24" t="s">
        <v>304</v>
      </c>
      <c r="CJ99" s="24" t="s">
        <v>156</v>
      </c>
      <c r="CK99" s="24" t="s">
        <v>207</v>
      </c>
      <c r="CL99" s="24">
        <v>2</v>
      </c>
      <c r="CM99" s="24">
        <v>3</v>
      </c>
      <c r="CN99" s="24">
        <v>3</v>
      </c>
      <c r="CO99" s="24">
        <v>3</v>
      </c>
      <c r="CP99" s="24">
        <v>4</v>
      </c>
      <c r="CQ99" s="24">
        <v>3</v>
      </c>
      <c r="CR99" s="24">
        <v>3</v>
      </c>
      <c r="CS99" s="24">
        <v>3</v>
      </c>
      <c r="CT99" s="24">
        <v>3</v>
      </c>
      <c r="CU99" s="24">
        <v>3</v>
      </c>
      <c r="CV99" s="24">
        <v>3</v>
      </c>
      <c r="CW99" s="24">
        <v>3</v>
      </c>
      <c r="CX99" s="24">
        <v>3</v>
      </c>
      <c r="CY99" s="24">
        <v>3</v>
      </c>
      <c r="CZ99" s="24">
        <v>3</v>
      </c>
      <c r="DA99" s="24">
        <v>3</v>
      </c>
      <c r="DB99" s="24" t="s">
        <v>366</v>
      </c>
      <c r="DC99" s="24">
        <v>4</v>
      </c>
      <c r="DD99" s="24" t="s">
        <v>838</v>
      </c>
      <c r="DE99" s="24" t="s">
        <v>156</v>
      </c>
      <c r="DJ99" s="24" t="s">
        <v>442</v>
      </c>
      <c r="DK99" s="24" t="s">
        <v>137</v>
      </c>
    </row>
    <row r="100" spans="1:115" ht="22.5" customHeight="1" x14ac:dyDescent="0.2">
      <c r="A100" s="23">
        <v>46065.513054664349</v>
      </c>
      <c r="B100" s="24" t="s">
        <v>1120</v>
      </c>
      <c r="C100" s="24">
        <v>0</v>
      </c>
      <c r="D100" s="24" t="s">
        <v>1121</v>
      </c>
      <c r="E100" s="24" t="s">
        <v>1122</v>
      </c>
      <c r="F100" s="24" t="s">
        <v>163</v>
      </c>
      <c r="G100" s="24">
        <v>62</v>
      </c>
      <c r="H100" s="25" t="s">
        <v>1123</v>
      </c>
      <c r="I100" s="24" t="s">
        <v>132</v>
      </c>
      <c r="J100" s="24" t="s">
        <v>384</v>
      </c>
      <c r="K100" s="24" t="s">
        <v>345</v>
      </c>
      <c r="M100" s="24" t="s">
        <v>136</v>
      </c>
      <c r="N100" s="24" t="s">
        <v>240</v>
      </c>
      <c r="O100" s="24" t="s">
        <v>199</v>
      </c>
      <c r="P100" s="24" t="s">
        <v>156</v>
      </c>
      <c r="Q100" s="24" t="s">
        <v>215</v>
      </c>
      <c r="R100" s="24" t="s">
        <v>318</v>
      </c>
      <c r="S100" s="24" t="s">
        <v>313</v>
      </c>
      <c r="T100" s="24" t="s">
        <v>136</v>
      </c>
      <c r="U100" s="24" t="s">
        <v>256</v>
      </c>
      <c r="V100" s="24" t="s">
        <v>199</v>
      </c>
      <c r="AI100" s="24" t="s">
        <v>144</v>
      </c>
      <c r="AJ100" s="24" t="s">
        <v>136</v>
      </c>
      <c r="AK100" s="24" t="s">
        <v>136</v>
      </c>
      <c r="AL100" s="24" t="s">
        <v>136</v>
      </c>
      <c r="AM100" s="24" t="s">
        <v>136</v>
      </c>
      <c r="AN100" s="24" t="s">
        <v>136</v>
      </c>
      <c r="AO100" s="24" t="s">
        <v>156</v>
      </c>
      <c r="AP100" s="24" t="s">
        <v>136</v>
      </c>
      <c r="AQ100" s="24" t="s">
        <v>136</v>
      </c>
      <c r="BN100" s="24" t="s">
        <v>167</v>
      </c>
      <c r="BO100" s="24" t="s">
        <v>136</v>
      </c>
      <c r="BP100" s="24" t="s">
        <v>1124</v>
      </c>
      <c r="BR100" s="24" t="s">
        <v>146</v>
      </c>
      <c r="BS100" s="24" t="s">
        <v>169</v>
      </c>
      <c r="BT100" s="24" t="s">
        <v>170</v>
      </c>
      <c r="CB100" s="24" t="s">
        <v>267</v>
      </c>
      <c r="CC100" s="24" t="s">
        <v>150</v>
      </c>
      <c r="CD100" s="24" t="s">
        <v>322</v>
      </c>
      <c r="CE100" s="24" t="s">
        <v>204</v>
      </c>
      <c r="CF100" s="24" t="s">
        <v>153</v>
      </c>
      <c r="CG100" s="24">
        <v>4</v>
      </c>
      <c r="CH100" s="24" t="s">
        <v>389</v>
      </c>
      <c r="CI100" s="24" t="s">
        <v>259</v>
      </c>
      <c r="CJ100" s="24" t="s">
        <v>136</v>
      </c>
      <c r="CK100" s="24" t="s">
        <v>231</v>
      </c>
      <c r="CL100" s="24">
        <v>4</v>
      </c>
      <c r="CM100" s="24">
        <v>3</v>
      </c>
      <c r="CN100" s="24">
        <v>4</v>
      </c>
      <c r="CO100" s="24">
        <v>4</v>
      </c>
      <c r="CP100" s="24">
        <v>4</v>
      </c>
      <c r="CQ100" s="24">
        <v>3</v>
      </c>
      <c r="CR100" s="24">
        <v>4</v>
      </c>
      <c r="CS100" s="24">
        <v>4</v>
      </c>
      <c r="CT100" s="24">
        <v>4</v>
      </c>
      <c r="CU100" s="24">
        <v>3</v>
      </c>
      <c r="CV100" s="24">
        <v>3</v>
      </c>
      <c r="CW100" s="24">
        <v>3</v>
      </c>
      <c r="CX100" s="24">
        <v>4</v>
      </c>
      <c r="CY100" s="24">
        <v>3</v>
      </c>
      <c r="CZ100" s="24">
        <v>4</v>
      </c>
      <c r="DA100" s="24">
        <v>3</v>
      </c>
      <c r="DB100" s="24" t="s">
        <v>247</v>
      </c>
      <c r="DC100" s="24">
        <v>4</v>
      </c>
      <c r="DD100" s="24" t="s">
        <v>395</v>
      </c>
      <c r="DE100" s="24" t="s">
        <v>136</v>
      </c>
      <c r="DF100" s="24">
        <v>3</v>
      </c>
      <c r="DG100" s="24">
        <v>3</v>
      </c>
      <c r="DH100" s="24">
        <v>2</v>
      </c>
      <c r="DI100" s="24" t="s">
        <v>1125</v>
      </c>
      <c r="DJ100" s="24" t="s">
        <v>188</v>
      </c>
      <c r="DK100" s="24" t="s">
        <v>1126</v>
      </c>
    </row>
    <row r="101" spans="1:115" ht="22.5" customHeight="1" x14ac:dyDescent="0.2">
      <c r="A101" s="23">
        <v>46065.5131396875</v>
      </c>
      <c r="B101" s="24" t="s">
        <v>1127</v>
      </c>
      <c r="C101" s="24">
        <v>0</v>
      </c>
      <c r="D101" s="24" t="s">
        <v>1128</v>
      </c>
      <c r="E101" s="24" t="s">
        <v>1129</v>
      </c>
      <c r="F101" s="24" t="s">
        <v>128</v>
      </c>
      <c r="G101" s="24">
        <v>62</v>
      </c>
      <c r="H101" s="25" t="s">
        <v>1130</v>
      </c>
      <c r="I101" s="24" t="s">
        <v>194</v>
      </c>
      <c r="J101" s="24" t="s">
        <v>133</v>
      </c>
      <c r="K101" s="24" t="s">
        <v>269</v>
      </c>
      <c r="M101" s="24" t="s">
        <v>136</v>
      </c>
      <c r="N101" s="24" t="s">
        <v>240</v>
      </c>
      <c r="O101" s="24" t="s">
        <v>199</v>
      </c>
      <c r="P101" s="24" t="s">
        <v>136</v>
      </c>
      <c r="Q101" s="24" t="s">
        <v>254</v>
      </c>
      <c r="R101" s="24" t="s">
        <v>199</v>
      </c>
      <c r="S101" s="24" t="s">
        <v>277</v>
      </c>
      <c r="T101" s="24" t="s">
        <v>136</v>
      </c>
      <c r="U101" s="24" t="s">
        <v>241</v>
      </c>
      <c r="V101" s="24" t="s">
        <v>199</v>
      </c>
      <c r="AI101" s="24" t="s">
        <v>144</v>
      </c>
      <c r="AJ101" s="24" t="s">
        <v>136</v>
      </c>
      <c r="AK101" s="24" t="s">
        <v>136</v>
      </c>
      <c r="AL101" s="24" t="s">
        <v>136</v>
      </c>
      <c r="AM101" s="24" t="s">
        <v>136</v>
      </c>
      <c r="AN101" s="24" t="s">
        <v>136</v>
      </c>
      <c r="AO101" s="24" t="s">
        <v>136</v>
      </c>
      <c r="AP101" s="24" t="s">
        <v>136</v>
      </c>
      <c r="AQ101" s="24" t="s">
        <v>136</v>
      </c>
      <c r="BN101" s="24" t="s">
        <v>167</v>
      </c>
      <c r="BO101" s="24" t="s">
        <v>136</v>
      </c>
      <c r="BP101" s="24" t="s">
        <v>1131</v>
      </c>
      <c r="BR101" s="24" t="s">
        <v>168</v>
      </c>
      <c r="BS101" s="24" t="s">
        <v>169</v>
      </c>
      <c r="BT101" s="24" t="s">
        <v>170</v>
      </c>
      <c r="CB101" s="24" t="s">
        <v>267</v>
      </c>
      <c r="CC101" s="24" t="s">
        <v>150</v>
      </c>
      <c r="CD101" s="24" t="s">
        <v>171</v>
      </c>
      <c r="CE101" s="24" t="s">
        <v>152</v>
      </c>
      <c r="CF101" s="24" t="s">
        <v>243</v>
      </c>
      <c r="CG101" s="24">
        <v>4</v>
      </c>
      <c r="CH101" s="24" t="s">
        <v>154</v>
      </c>
      <c r="CI101" s="24" t="s">
        <v>287</v>
      </c>
      <c r="CJ101" s="24" t="s">
        <v>136</v>
      </c>
      <c r="CK101" s="24" t="s">
        <v>279</v>
      </c>
      <c r="CL101" s="24">
        <v>4</v>
      </c>
      <c r="CM101" s="24">
        <v>4</v>
      </c>
      <c r="CN101" s="24">
        <v>4</v>
      </c>
      <c r="CO101" s="24">
        <v>4</v>
      </c>
      <c r="CP101" s="24">
        <v>5</v>
      </c>
      <c r="CQ101" s="24">
        <v>4</v>
      </c>
      <c r="CR101" s="24">
        <v>4</v>
      </c>
      <c r="CS101" s="24">
        <v>4</v>
      </c>
      <c r="CT101" s="24">
        <v>4</v>
      </c>
      <c r="CU101" s="24">
        <v>4</v>
      </c>
      <c r="CV101" s="24">
        <v>4</v>
      </c>
      <c r="CW101" s="24">
        <v>4</v>
      </c>
      <c r="CX101" s="24">
        <v>4</v>
      </c>
      <c r="CY101" s="24">
        <v>4</v>
      </c>
      <c r="CZ101" s="24">
        <v>4</v>
      </c>
      <c r="DA101" s="24">
        <v>4</v>
      </c>
      <c r="DB101" s="24" t="s">
        <v>1132</v>
      </c>
      <c r="DC101" s="24">
        <v>4</v>
      </c>
      <c r="DD101" s="24" t="s">
        <v>1133</v>
      </c>
      <c r="DE101" s="24" t="s">
        <v>136</v>
      </c>
      <c r="DF101" s="24">
        <v>4</v>
      </c>
      <c r="DG101" s="24">
        <v>4</v>
      </c>
      <c r="DH101" s="24">
        <v>4</v>
      </c>
      <c r="DI101" s="24" t="s">
        <v>1134</v>
      </c>
      <c r="DJ101" s="24" t="s">
        <v>1135</v>
      </c>
      <c r="DK101" s="24" t="s">
        <v>137</v>
      </c>
    </row>
    <row r="102" spans="1:115" ht="22.5" customHeight="1" x14ac:dyDescent="0.2">
      <c r="A102" s="23">
        <v>46065.514931168982</v>
      </c>
      <c r="B102" s="24" t="s">
        <v>1136</v>
      </c>
      <c r="C102" s="24">
        <v>0</v>
      </c>
      <c r="D102" s="24" t="s">
        <v>1137</v>
      </c>
      <c r="E102" s="24" t="s">
        <v>1138</v>
      </c>
      <c r="F102" s="24" t="s">
        <v>128</v>
      </c>
      <c r="G102" s="24">
        <v>62</v>
      </c>
      <c r="H102" s="25" t="s">
        <v>1139</v>
      </c>
      <c r="I102" s="24" t="s">
        <v>194</v>
      </c>
      <c r="J102" s="24" t="s">
        <v>133</v>
      </c>
      <c r="K102" s="24" t="s">
        <v>135</v>
      </c>
      <c r="M102" s="24" t="s">
        <v>156</v>
      </c>
      <c r="N102" s="24" t="s">
        <v>215</v>
      </c>
      <c r="O102" s="24" t="s">
        <v>360</v>
      </c>
      <c r="P102" s="24" t="s">
        <v>136</v>
      </c>
      <c r="Q102" s="24" t="s">
        <v>200</v>
      </c>
      <c r="R102" s="24" t="s">
        <v>199</v>
      </c>
      <c r="S102" s="24" t="s">
        <v>218</v>
      </c>
      <c r="T102" s="24" t="s">
        <v>136</v>
      </c>
      <c r="U102" s="24" t="s">
        <v>356</v>
      </c>
      <c r="V102" s="24" t="s">
        <v>199</v>
      </c>
      <c r="AI102" s="24" t="s">
        <v>203</v>
      </c>
      <c r="AJ102" s="24" t="s">
        <v>156</v>
      </c>
      <c r="AK102" s="24" t="s">
        <v>136</v>
      </c>
      <c r="AL102" s="24" t="s">
        <v>136</v>
      </c>
      <c r="AM102" s="24" t="s">
        <v>136</v>
      </c>
      <c r="AN102" s="24" t="s">
        <v>156</v>
      </c>
      <c r="AO102" s="24" t="s">
        <v>156</v>
      </c>
      <c r="AP102" s="24" t="s">
        <v>136</v>
      </c>
      <c r="AQ102" s="24" t="s">
        <v>156</v>
      </c>
      <c r="CB102" s="24" t="s">
        <v>267</v>
      </c>
      <c r="CC102" s="24" t="s">
        <v>150</v>
      </c>
      <c r="CD102" s="24" t="s">
        <v>151</v>
      </c>
      <c r="CE102" s="24" t="s">
        <v>152</v>
      </c>
      <c r="CF102" s="24" t="s">
        <v>153</v>
      </c>
      <c r="CG102" s="24">
        <v>3</v>
      </c>
      <c r="CH102" s="24" t="s">
        <v>286</v>
      </c>
      <c r="CI102" s="24" t="s">
        <v>398</v>
      </c>
      <c r="CJ102" s="24" t="s">
        <v>156</v>
      </c>
      <c r="CK102" s="24" t="s">
        <v>328</v>
      </c>
      <c r="CL102" s="24">
        <v>2</v>
      </c>
      <c r="CM102" s="24">
        <v>1</v>
      </c>
      <c r="CN102" s="24">
        <v>3</v>
      </c>
      <c r="CO102" s="24">
        <v>3</v>
      </c>
      <c r="CP102" s="24">
        <v>4</v>
      </c>
      <c r="CQ102" s="24">
        <v>3</v>
      </c>
      <c r="CR102" s="24">
        <v>3</v>
      </c>
      <c r="CS102" s="24">
        <v>3</v>
      </c>
      <c r="CT102" s="24">
        <v>3</v>
      </c>
      <c r="CU102" s="24">
        <v>3</v>
      </c>
      <c r="CV102" s="24">
        <v>3</v>
      </c>
      <c r="CW102" s="24">
        <v>3</v>
      </c>
      <c r="CX102" s="24">
        <v>3</v>
      </c>
      <c r="CY102" s="24">
        <v>3</v>
      </c>
      <c r="CZ102" s="24">
        <v>3</v>
      </c>
      <c r="DA102" s="24">
        <v>3</v>
      </c>
      <c r="DB102" s="24" t="s">
        <v>247</v>
      </c>
      <c r="DC102" s="24">
        <v>3</v>
      </c>
      <c r="DD102" s="24" t="s">
        <v>1140</v>
      </c>
      <c r="DE102" s="24" t="s">
        <v>156</v>
      </c>
      <c r="DJ102" s="24" t="s">
        <v>188</v>
      </c>
      <c r="DK102" s="24" t="s">
        <v>137</v>
      </c>
    </row>
    <row r="103" spans="1:115" ht="22.5" customHeight="1" x14ac:dyDescent="0.2">
      <c r="A103" s="23">
        <v>46065.515515937499</v>
      </c>
      <c r="B103" s="24" t="s">
        <v>1141</v>
      </c>
      <c r="C103" s="24">
        <v>0</v>
      </c>
      <c r="D103" s="24" t="s">
        <v>1142</v>
      </c>
      <c r="E103" s="24" t="s">
        <v>1143</v>
      </c>
      <c r="F103" s="24" t="s">
        <v>128</v>
      </c>
      <c r="G103" s="24">
        <v>62</v>
      </c>
      <c r="H103" s="25" t="s">
        <v>1144</v>
      </c>
      <c r="I103" s="24" t="s">
        <v>194</v>
      </c>
      <c r="J103" s="24" t="s">
        <v>344</v>
      </c>
      <c r="K103" s="24" t="s">
        <v>135</v>
      </c>
      <c r="M103" s="24" t="s">
        <v>136</v>
      </c>
      <c r="N103" s="24" t="s">
        <v>264</v>
      </c>
      <c r="O103" s="24" t="s">
        <v>199</v>
      </c>
      <c r="P103" s="24" t="s">
        <v>156</v>
      </c>
      <c r="Q103" s="24" t="s">
        <v>215</v>
      </c>
      <c r="R103" s="24" t="s">
        <v>217</v>
      </c>
      <c r="S103" s="24" t="s">
        <v>544</v>
      </c>
      <c r="T103" s="24" t="s">
        <v>136</v>
      </c>
      <c r="U103" s="24" t="s">
        <v>241</v>
      </c>
      <c r="V103" s="24" t="s">
        <v>199</v>
      </c>
      <c r="AI103" s="24" t="s">
        <v>304</v>
      </c>
      <c r="AJ103" s="24" t="s">
        <v>136</v>
      </c>
      <c r="AK103" s="24" t="s">
        <v>136</v>
      </c>
      <c r="AL103" s="24" t="s">
        <v>136</v>
      </c>
      <c r="AM103" s="24" t="s">
        <v>136</v>
      </c>
      <c r="AN103" s="24" t="s">
        <v>136</v>
      </c>
      <c r="AO103" s="24" t="s">
        <v>136</v>
      </c>
      <c r="AP103" s="24" t="s">
        <v>136</v>
      </c>
      <c r="AQ103" s="24" t="s">
        <v>136</v>
      </c>
      <c r="BU103" s="24" t="s">
        <v>167</v>
      </c>
      <c r="BV103" s="24" t="s">
        <v>156</v>
      </c>
      <c r="BW103" s="24" t="s">
        <v>137</v>
      </c>
      <c r="BX103" s="24" t="s">
        <v>1145</v>
      </c>
      <c r="BY103" s="24" t="s">
        <v>306</v>
      </c>
      <c r="BZ103" s="24" t="s">
        <v>337</v>
      </c>
      <c r="CA103" s="24" t="s">
        <v>439</v>
      </c>
      <c r="CB103" s="24" t="s">
        <v>267</v>
      </c>
      <c r="CC103" s="24" t="s">
        <v>150</v>
      </c>
      <c r="CD103" s="24" t="s">
        <v>229</v>
      </c>
      <c r="CE103" s="24" t="s">
        <v>204</v>
      </c>
      <c r="CF103" s="24" t="s">
        <v>243</v>
      </c>
      <c r="CG103" s="24">
        <v>4</v>
      </c>
      <c r="CH103" s="24" t="s">
        <v>323</v>
      </c>
      <c r="CI103" s="24" t="s">
        <v>259</v>
      </c>
      <c r="CJ103" s="24" t="s">
        <v>156</v>
      </c>
      <c r="CK103" s="24" t="s">
        <v>279</v>
      </c>
      <c r="CL103" s="24">
        <v>4</v>
      </c>
      <c r="CM103" s="24">
        <v>4</v>
      </c>
      <c r="CN103" s="24">
        <v>4</v>
      </c>
      <c r="CO103" s="24">
        <v>4</v>
      </c>
      <c r="CP103" s="24">
        <v>5</v>
      </c>
      <c r="CQ103" s="24">
        <v>4</v>
      </c>
      <c r="CR103" s="24">
        <v>4</v>
      </c>
      <c r="CS103" s="24">
        <v>4</v>
      </c>
      <c r="CT103" s="24">
        <v>4</v>
      </c>
      <c r="CU103" s="24">
        <v>4</v>
      </c>
      <c r="CV103" s="24">
        <v>4</v>
      </c>
      <c r="CW103" s="24">
        <v>4</v>
      </c>
      <c r="CX103" s="24">
        <v>4</v>
      </c>
      <c r="CY103" s="24">
        <v>4</v>
      </c>
      <c r="CZ103" s="24">
        <v>4</v>
      </c>
      <c r="DA103" s="24">
        <v>4</v>
      </c>
      <c r="DB103" s="24" t="s">
        <v>1146</v>
      </c>
      <c r="DC103" s="24">
        <v>4</v>
      </c>
      <c r="DD103" s="24" t="s">
        <v>363</v>
      </c>
      <c r="DE103" s="24" t="s">
        <v>156</v>
      </c>
      <c r="DJ103" s="24" t="s">
        <v>188</v>
      </c>
      <c r="DK103" s="24" t="s">
        <v>771</v>
      </c>
    </row>
    <row r="104" spans="1:115" ht="22.5" customHeight="1" x14ac:dyDescent="0.2">
      <c r="A104" s="23">
        <v>46065.516564201389</v>
      </c>
      <c r="B104" s="24" t="s">
        <v>1147</v>
      </c>
      <c r="C104" s="24">
        <v>0</v>
      </c>
      <c r="D104" s="24" t="s">
        <v>1148</v>
      </c>
      <c r="E104" s="24" t="s">
        <v>1149</v>
      </c>
      <c r="F104" s="24" t="s">
        <v>128</v>
      </c>
      <c r="G104" s="24">
        <v>60</v>
      </c>
      <c r="H104" s="25" t="s">
        <v>1150</v>
      </c>
      <c r="I104" s="24" t="s">
        <v>194</v>
      </c>
      <c r="J104" s="24" t="s">
        <v>301</v>
      </c>
      <c r="K104" s="24" t="s">
        <v>135</v>
      </c>
      <c r="M104" s="24" t="s">
        <v>136</v>
      </c>
      <c r="N104" s="24" t="s">
        <v>276</v>
      </c>
      <c r="O104" s="24" t="s">
        <v>199</v>
      </c>
      <c r="P104" s="24" t="s">
        <v>156</v>
      </c>
      <c r="Q104" s="24" t="s">
        <v>215</v>
      </c>
      <c r="R104" s="24" t="s">
        <v>270</v>
      </c>
      <c r="S104" s="24" t="s">
        <v>266</v>
      </c>
      <c r="T104" s="24" t="s">
        <v>136</v>
      </c>
      <c r="U104" s="24" t="s">
        <v>241</v>
      </c>
      <c r="V104" s="24" t="s">
        <v>199</v>
      </c>
      <c r="AI104" s="24" t="s">
        <v>144</v>
      </c>
      <c r="AJ104" s="24" t="s">
        <v>136</v>
      </c>
      <c r="AK104" s="24" t="s">
        <v>136</v>
      </c>
      <c r="AL104" s="24" t="s">
        <v>136</v>
      </c>
      <c r="AM104" s="24" t="s">
        <v>156</v>
      </c>
      <c r="AN104" s="24" t="s">
        <v>136</v>
      </c>
      <c r="AO104" s="24" t="s">
        <v>136</v>
      </c>
      <c r="AP104" s="24" t="s">
        <v>136</v>
      </c>
      <c r="AQ104" s="24" t="s">
        <v>136</v>
      </c>
      <c r="BN104" s="24" t="s">
        <v>167</v>
      </c>
      <c r="BO104" s="24" t="s">
        <v>136</v>
      </c>
      <c r="BP104" s="24" t="s">
        <v>1151</v>
      </c>
      <c r="BR104" s="24" t="s">
        <v>168</v>
      </c>
      <c r="BS104" s="24" t="s">
        <v>169</v>
      </c>
      <c r="BT104" s="24" t="s">
        <v>148</v>
      </c>
      <c r="CB104" s="24" t="s">
        <v>267</v>
      </c>
      <c r="CC104" s="24" t="s">
        <v>150</v>
      </c>
      <c r="CD104" s="24" t="s">
        <v>229</v>
      </c>
      <c r="CE104" s="24" t="s">
        <v>152</v>
      </c>
      <c r="CF104" s="24" t="s">
        <v>273</v>
      </c>
      <c r="CG104" s="24">
        <v>4</v>
      </c>
      <c r="CH104" s="24" t="s">
        <v>154</v>
      </c>
      <c r="CI104" s="24" t="s">
        <v>324</v>
      </c>
      <c r="CJ104" s="24" t="s">
        <v>136</v>
      </c>
      <c r="CK104" s="24" t="s">
        <v>512</v>
      </c>
      <c r="CL104" s="24">
        <v>3</v>
      </c>
      <c r="CM104" s="24">
        <v>3</v>
      </c>
      <c r="CN104" s="24">
        <v>3</v>
      </c>
      <c r="CO104" s="24">
        <v>3</v>
      </c>
      <c r="CP104" s="24">
        <v>4</v>
      </c>
      <c r="CQ104" s="24">
        <v>3</v>
      </c>
      <c r="CR104" s="24">
        <v>3</v>
      </c>
      <c r="CS104" s="24">
        <v>3</v>
      </c>
      <c r="CT104" s="24">
        <v>3</v>
      </c>
      <c r="CU104" s="24">
        <v>3</v>
      </c>
      <c r="CV104" s="24">
        <v>3</v>
      </c>
      <c r="CW104" s="24">
        <v>3</v>
      </c>
      <c r="CX104" s="24">
        <v>3</v>
      </c>
      <c r="CY104" s="24">
        <v>3</v>
      </c>
      <c r="CZ104" s="24">
        <v>3</v>
      </c>
      <c r="DA104" s="24">
        <v>3</v>
      </c>
      <c r="DB104" s="24" t="s">
        <v>247</v>
      </c>
      <c r="DC104" s="24">
        <v>3</v>
      </c>
      <c r="DD104" s="24" t="s">
        <v>744</v>
      </c>
      <c r="DE104" s="24" t="s">
        <v>136</v>
      </c>
      <c r="DF104" s="24">
        <v>3</v>
      </c>
      <c r="DG104" s="24">
        <v>3</v>
      </c>
      <c r="DH104" s="24">
        <v>3</v>
      </c>
      <c r="DI104" s="24" t="s">
        <v>158</v>
      </c>
      <c r="DJ104" s="24" t="s">
        <v>159</v>
      </c>
      <c r="DK104" s="24" t="s">
        <v>137</v>
      </c>
    </row>
    <row r="105" spans="1:115" ht="22.5" customHeight="1" x14ac:dyDescent="0.2">
      <c r="A105" s="23">
        <v>46065.516566747683</v>
      </c>
      <c r="B105" s="24" t="s">
        <v>1152</v>
      </c>
      <c r="C105" s="24">
        <v>0</v>
      </c>
      <c r="D105" s="24" t="s">
        <v>1153</v>
      </c>
      <c r="E105" s="24" t="s">
        <v>1154</v>
      </c>
      <c r="F105" s="24" t="s">
        <v>163</v>
      </c>
      <c r="G105" s="24">
        <v>60</v>
      </c>
      <c r="H105" s="24">
        <v>6289655961911</v>
      </c>
      <c r="I105" s="24" t="s">
        <v>194</v>
      </c>
      <c r="J105" s="24" t="s">
        <v>384</v>
      </c>
      <c r="K105" s="24" t="s">
        <v>345</v>
      </c>
      <c r="M105" s="24" t="s">
        <v>136</v>
      </c>
      <c r="N105" s="24" t="s">
        <v>240</v>
      </c>
      <c r="O105" s="24" t="s">
        <v>199</v>
      </c>
      <c r="P105" s="24" t="s">
        <v>136</v>
      </c>
      <c r="Q105" s="24" t="s">
        <v>254</v>
      </c>
      <c r="R105" s="24" t="s">
        <v>199</v>
      </c>
      <c r="S105" s="24" t="s">
        <v>544</v>
      </c>
      <c r="T105" s="24" t="s">
        <v>136</v>
      </c>
      <c r="U105" s="24" t="s">
        <v>693</v>
      </c>
      <c r="V105" s="24" t="s">
        <v>199</v>
      </c>
      <c r="AI105" s="24" t="s">
        <v>144</v>
      </c>
      <c r="AJ105" s="24" t="s">
        <v>136</v>
      </c>
      <c r="AK105" s="24" t="s">
        <v>156</v>
      </c>
      <c r="AL105" s="24" t="s">
        <v>156</v>
      </c>
      <c r="AM105" s="24" t="s">
        <v>156</v>
      </c>
      <c r="AN105" s="24" t="s">
        <v>136</v>
      </c>
      <c r="AO105" s="24" t="s">
        <v>136</v>
      </c>
      <c r="AP105" s="24" t="s">
        <v>136</v>
      </c>
      <c r="AQ105" s="24" t="s">
        <v>136</v>
      </c>
      <c r="BN105" s="24" t="s">
        <v>167</v>
      </c>
      <c r="BO105" s="24" t="s">
        <v>156</v>
      </c>
      <c r="BP105" s="24" t="s">
        <v>156</v>
      </c>
      <c r="BQ105" s="24" t="s">
        <v>1155</v>
      </c>
      <c r="BR105" s="24" t="s">
        <v>226</v>
      </c>
      <c r="BS105" s="24" t="s">
        <v>147</v>
      </c>
      <c r="BT105" s="24" t="s">
        <v>361</v>
      </c>
      <c r="CB105" s="24" t="s">
        <v>228</v>
      </c>
      <c r="CC105" s="24" t="s">
        <v>150</v>
      </c>
      <c r="CD105" s="24" t="s">
        <v>171</v>
      </c>
      <c r="CE105" s="24" t="s">
        <v>152</v>
      </c>
      <c r="CF105" s="24" t="s">
        <v>273</v>
      </c>
      <c r="CG105" s="24">
        <v>4</v>
      </c>
      <c r="CH105" s="24" t="s">
        <v>389</v>
      </c>
      <c r="CI105" s="24" t="s">
        <v>206</v>
      </c>
      <c r="CJ105" s="24" t="s">
        <v>136</v>
      </c>
      <c r="CK105" s="24" t="s">
        <v>231</v>
      </c>
      <c r="CL105" s="24">
        <v>3</v>
      </c>
      <c r="CM105" s="24">
        <v>2</v>
      </c>
      <c r="CN105" s="24">
        <v>3</v>
      </c>
      <c r="CO105" s="24">
        <v>2</v>
      </c>
      <c r="CP105" s="24">
        <v>3</v>
      </c>
      <c r="CQ105" s="24">
        <v>2</v>
      </c>
      <c r="CR105" s="24">
        <v>3</v>
      </c>
      <c r="CS105" s="24">
        <v>3</v>
      </c>
      <c r="CT105" s="24">
        <v>3</v>
      </c>
      <c r="CU105" s="24">
        <v>2</v>
      </c>
      <c r="CV105" s="24">
        <v>3</v>
      </c>
      <c r="CW105" s="24">
        <v>2</v>
      </c>
      <c r="CX105" s="24">
        <v>3</v>
      </c>
      <c r="CY105" s="24">
        <v>4</v>
      </c>
      <c r="CZ105" s="24">
        <v>3</v>
      </c>
      <c r="DA105" s="24">
        <v>3</v>
      </c>
      <c r="DB105" s="24" t="s">
        <v>329</v>
      </c>
      <c r="DC105" s="24">
        <v>3</v>
      </c>
      <c r="DD105" s="24" t="s">
        <v>395</v>
      </c>
      <c r="DE105" s="24" t="s">
        <v>156</v>
      </c>
      <c r="DJ105" s="24" t="s">
        <v>378</v>
      </c>
      <c r="DK105" s="24" t="s">
        <v>1156</v>
      </c>
    </row>
    <row r="106" spans="1:115" ht="22.5" customHeight="1" x14ac:dyDescent="0.2">
      <c r="A106" s="23">
        <v>46065.516739212966</v>
      </c>
      <c r="B106" s="24" t="s">
        <v>1157</v>
      </c>
      <c r="C106" s="24">
        <v>0</v>
      </c>
      <c r="D106" s="24" t="s">
        <v>1158</v>
      </c>
      <c r="E106" s="24" t="s">
        <v>1159</v>
      </c>
      <c r="F106" s="24" t="s">
        <v>128</v>
      </c>
      <c r="G106" s="24">
        <v>62</v>
      </c>
      <c r="H106" s="25" t="s">
        <v>1160</v>
      </c>
      <c r="I106" s="24" t="s">
        <v>132</v>
      </c>
      <c r="J106" s="24" t="s">
        <v>301</v>
      </c>
      <c r="K106" s="24" t="s">
        <v>135</v>
      </c>
      <c r="M106" s="24" t="s">
        <v>136</v>
      </c>
      <c r="N106" s="24" t="s">
        <v>240</v>
      </c>
      <c r="O106" s="24" t="s">
        <v>355</v>
      </c>
      <c r="P106" s="24" t="s">
        <v>136</v>
      </c>
      <c r="Q106" s="24" t="s">
        <v>303</v>
      </c>
      <c r="R106" s="24" t="s">
        <v>270</v>
      </c>
      <c r="S106" s="24" t="s">
        <v>255</v>
      </c>
      <c r="T106" s="24" t="s">
        <v>136</v>
      </c>
      <c r="U106" s="24" t="s">
        <v>241</v>
      </c>
      <c r="V106" s="24" t="s">
        <v>985</v>
      </c>
      <c r="AI106" s="24" t="s">
        <v>144</v>
      </c>
      <c r="AJ106" s="24" t="s">
        <v>136</v>
      </c>
      <c r="AK106" s="24" t="s">
        <v>136</v>
      </c>
      <c r="AL106" s="24" t="s">
        <v>136</v>
      </c>
      <c r="AM106" s="24" t="s">
        <v>136</v>
      </c>
      <c r="AN106" s="24" t="s">
        <v>156</v>
      </c>
      <c r="AO106" s="24" t="s">
        <v>156</v>
      </c>
      <c r="AP106" s="24" t="s">
        <v>156</v>
      </c>
      <c r="AQ106" s="24" t="s">
        <v>156</v>
      </c>
      <c r="BN106" s="24" t="s">
        <v>167</v>
      </c>
      <c r="BO106" s="24" t="s">
        <v>136</v>
      </c>
      <c r="BP106" s="24" t="s">
        <v>1161</v>
      </c>
      <c r="BR106" s="24" t="s">
        <v>146</v>
      </c>
      <c r="BS106" s="24" t="s">
        <v>147</v>
      </c>
      <c r="BT106" s="24" t="s">
        <v>227</v>
      </c>
      <c r="CB106" s="24" t="s">
        <v>149</v>
      </c>
      <c r="CC106" s="24" t="s">
        <v>150</v>
      </c>
      <c r="CD106" s="24" t="s">
        <v>322</v>
      </c>
      <c r="CE106" s="24" t="s">
        <v>152</v>
      </c>
      <c r="CF106" s="24" t="s">
        <v>243</v>
      </c>
      <c r="CG106" s="24">
        <v>4</v>
      </c>
      <c r="CH106" s="24" t="s">
        <v>434</v>
      </c>
      <c r="CI106" s="24" t="s">
        <v>352</v>
      </c>
      <c r="CJ106" s="24" t="s">
        <v>156</v>
      </c>
      <c r="CK106" s="24" t="s">
        <v>328</v>
      </c>
      <c r="CL106" s="24">
        <v>3</v>
      </c>
      <c r="CM106" s="24">
        <v>3</v>
      </c>
      <c r="CN106" s="24">
        <v>3</v>
      </c>
      <c r="CO106" s="24">
        <v>2</v>
      </c>
      <c r="CP106" s="24">
        <v>3</v>
      </c>
      <c r="CQ106" s="24">
        <v>3</v>
      </c>
      <c r="CR106" s="24">
        <v>4</v>
      </c>
      <c r="CS106" s="24">
        <v>3</v>
      </c>
      <c r="CT106" s="24">
        <v>3</v>
      </c>
      <c r="CU106" s="24">
        <v>3</v>
      </c>
      <c r="CV106" s="24">
        <v>4</v>
      </c>
      <c r="CW106" s="24">
        <v>3</v>
      </c>
      <c r="CX106" s="24">
        <v>2</v>
      </c>
      <c r="CY106" s="24">
        <v>3</v>
      </c>
      <c r="CZ106" s="24">
        <v>2</v>
      </c>
      <c r="DA106" s="24">
        <v>4</v>
      </c>
      <c r="DB106" s="24" t="s">
        <v>310</v>
      </c>
      <c r="DC106" s="24">
        <v>4</v>
      </c>
      <c r="DD106" s="24" t="s">
        <v>1162</v>
      </c>
      <c r="DE106" s="24" t="s">
        <v>156</v>
      </c>
      <c r="DJ106" s="24" t="s">
        <v>902</v>
      </c>
      <c r="DK106" s="24" t="s">
        <v>745</v>
      </c>
    </row>
    <row r="107" spans="1:115" ht="22.5" customHeight="1" x14ac:dyDescent="0.2">
      <c r="A107" s="23">
        <v>46065.517038831022</v>
      </c>
      <c r="B107" s="24" t="s">
        <v>1163</v>
      </c>
      <c r="C107" s="24">
        <v>0</v>
      </c>
      <c r="D107" s="24" t="s">
        <v>1164</v>
      </c>
      <c r="E107" s="24" t="s">
        <v>1165</v>
      </c>
      <c r="F107" s="24" t="s">
        <v>128</v>
      </c>
      <c r="G107" s="24">
        <v>62</v>
      </c>
      <c r="H107" s="25" t="s">
        <v>1166</v>
      </c>
      <c r="I107" s="24" t="s">
        <v>194</v>
      </c>
      <c r="J107" s="24" t="s">
        <v>133</v>
      </c>
      <c r="K107" s="24" t="s">
        <v>135</v>
      </c>
      <c r="M107" s="24" t="s">
        <v>136</v>
      </c>
      <c r="N107" s="24" t="s">
        <v>240</v>
      </c>
      <c r="O107" s="24" t="s">
        <v>199</v>
      </c>
      <c r="P107" s="24" t="s">
        <v>136</v>
      </c>
      <c r="Q107" s="24" t="s">
        <v>502</v>
      </c>
      <c r="R107" s="24" t="s">
        <v>199</v>
      </c>
      <c r="S107" s="24" t="s">
        <v>255</v>
      </c>
      <c r="T107" s="24" t="s">
        <v>136</v>
      </c>
      <c r="U107" s="24" t="s">
        <v>202</v>
      </c>
      <c r="V107" s="24" t="s">
        <v>199</v>
      </c>
      <c r="AI107" s="24" t="s">
        <v>144</v>
      </c>
      <c r="AJ107" s="24" t="s">
        <v>136</v>
      </c>
      <c r="AK107" s="24" t="s">
        <v>136</v>
      </c>
      <c r="AL107" s="24" t="s">
        <v>136</v>
      </c>
      <c r="AM107" s="24" t="s">
        <v>136</v>
      </c>
      <c r="AN107" s="24" t="s">
        <v>156</v>
      </c>
      <c r="AO107" s="24" t="s">
        <v>156</v>
      </c>
      <c r="AP107" s="24" t="s">
        <v>136</v>
      </c>
      <c r="AQ107" s="24" t="s">
        <v>136</v>
      </c>
      <c r="BN107" s="24" t="s">
        <v>1167</v>
      </c>
      <c r="BO107" s="24" t="s">
        <v>136</v>
      </c>
      <c r="BP107" s="24" t="s">
        <v>1168</v>
      </c>
      <c r="BR107" s="24" t="s">
        <v>168</v>
      </c>
      <c r="BS107" s="24" t="s">
        <v>147</v>
      </c>
      <c r="BT107" s="24" t="s">
        <v>170</v>
      </c>
      <c r="CB107" s="24" t="s">
        <v>149</v>
      </c>
      <c r="CC107" s="24" t="s">
        <v>351</v>
      </c>
      <c r="CD107" s="24" t="s">
        <v>322</v>
      </c>
      <c r="CE107" s="24" t="s">
        <v>152</v>
      </c>
      <c r="CF107" s="24" t="s">
        <v>153</v>
      </c>
      <c r="CG107" s="24">
        <v>3</v>
      </c>
      <c r="CH107" s="24" t="s">
        <v>154</v>
      </c>
      <c r="CI107" s="24" t="s">
        <v>287</v>
      </c>
      <c r="CJ107" s="24" t="s">
        <v>156</v>
      </c>
      <c r="CK107" s="24" t="s">
        <v>231</v>
      </c>
      <c r="CL107" s="24">
        <v>2</v>
      </c>
      <c r="CM107" s="24">
        <v>2</v>
      </c>
      <c r="CN107" s="24">
        <v>3</v>
      </c>
      <c r="CO107" s="24">
        <v>3</v>
      </c>
      <c r="CP107" s="24">
        <v>2</v>
      </c>
      <c r="CQ107" s="24">
        <v>2</v>
      </c>
      <c r="CR107" s="24">
        <v>2</v>
      </c>
      <c r="CS107" s="24">
        <v>3</v>
      </c>
      <c r="CT107" s="24">
        <v>2</v>
      </c>
      <c r="CU107" s="24">
        <v>3</v>
      </c>
      <c r="CV107" s="24">
        <v>3</v>
      </c>
      <c r="CW107" s="24">
        <v>2</v>
      </c>
      <c r="CX107" s="24">
        <v>3</v>
      </c>
      <c r="CY107" s="24">
        <v>3</v>
      </c>
      <c r="CZ107" s="24">
        <v>2</v>
      </c>
      <c r="DA107" s="24">
        <v>2</v>
      </c>
      <c r="DB107" s="24" t="s">
        <v>399</v>
      </c>
      <c r="DC107" s="24">
        <v>3</v>
      </c>
      <c r="DD107" s="24" t="s">
        <v>853</v>
      </c>
      <c r="DE107" s="24" t="s">
        <v>156</v>
      </c>
      <c r="DJ107" s="24" t="s">
        <v>210</v>
      </c>
      <c r="DK107" s="24" t="s">
        <v>137</v>
      </c>
    </row>
    <row r="108" spans="1:115" ht="22.5" customHeight="1" x14ac:dyDescent="0.2">
      <c r="A108" s="23">
        <v>46065.518148958334</v>
      </c>
      <c r="B108" s="24" t="s">
        <v>1169</v>
      </c>
      <c r="C108" s="24">
        <v>0</v>
      </c>
      <c r="D108" s="24" t="s">
        <v>1170</v>
      </c>
      <c r="E108" s="24" t="s">
        <v>1171</v>
      </c>
      <c r="F108" s="24" t="s">
        <v>128</v>
      </c>
      <c r="G108" s="24">
        <v>62</v>
      </c>
      <c r="H108" s="25" t="s">
        <v>1172</v>
      </c>
      <c r="I108" s="24" t="s">
        <v>194</v>
      </c>
      <c r="J108" s="24" t="s">
        <v>133</v>
      </c>
      <c r="K108" s="24" t="s">
        <v>269</v>
      </c>
      <c r="M108" s="24" t="s">
        <v>136</v>
      </c>
      <c r="N108" s="24" t="s">
        <v>240</v>
      </c>
      <c r="O108" s="24" t="s">
        <v>199</v>
      </c>
      <c r="P108" s="24" t="s">
        <v>136</v>
      </c>
      <c r="Q108" s="24" t="s">
        <v>502</v>
      </c>
      <c r="R108" s="24" t="s">
        <v>199</v>
      </c>
      <c r="S108" s="24" t="s">
        <v>313</v>
      </c>
      <c r="T108" s="24" t="s">
        <v>136</v>
      </c>
      <c r="U108" s="24" t="s">
        <v>356</v>
      </c>
      <c r="V108" s="24" t="s">
        <v>199</v>
      </c>
      <c r="AI108" s="24" t="s">
        <v>304</v>
      </c>
      <c r="AJ108" s="24" t="s">
        <v>136</v>
      </c>
      <c r="AK108" s="24" t="s">
        <v>136</v>
      </c>
      <c r="AL108" s="24" t="s">
        <v>136</v>
      </c>
      <c r="AM108" s="24" t="s">
        <v>156</v>
      </c>
      <c r="AN108" s="24" t="s">
        <v>136</v>
      </c>
      <c r="AO108" s="24" t="s">
        <v>136</v>
      </c>
      <c r="AP108" s="24" t="s">
        <v>136</v>
      </c>
      <c r="AQ108" s="24" t="s">
        <v>156</v>
      </c>
      <c r="BU108" s="24" t="s">
        <v>305</v>
      </c>
      <c r="BV108" s="24" t="s">
        <v>136</v>
      </c>
      <c r="BW108" s="24" t="s">
        <v>1173</v>
      </c>
      <c r="BY108" s="24" t="s">
        <v>306</v>
      </c>
      <c r="BZ108" s="24" t="s">
        <v>307</v>
      </c>
      <c r="CA108" s="24" t="s">
        <v>428</v>
      </c>
      <c r="CB108" s="24" t="s">
        <v>149</v>
      </c>
      <c r="CC108" s="24" t="s">
        <v>150</v>
      </c>
      <c r="CD108" s="24" t="s">
        <v>229</v>
      </c>
      <c r="CE108" s="24" t="s">
        <v>204</v>
      </c>
      <c r="CF108" s="24" t="s">
        <v>243</v>
      </c>
      <c r="CG108" s="24">
        <v>4</v>
      </c>
      <c r="CH108" s="24" t="s">
        <v>205</v>
      </c>
      <c r="CI108" s="24" t="s">
        <v>392</v>
      </c>
      <c r="CJ108" s="24" t="s">
        <v>136</v>
      </c>
      <c r="CK108" s="24" t="s">
        <v>328</v>
      </c>
      <c r="CL108" s="24">
        <v>4</v>
      </c>
      <c r="CM108" s="24">
        <v>4</v>
      </c>
      <c r="CN108" s="24">
        <v>4</v>
      </c>
      <c r="CO108" s="24">
        <v>4</v>
      </c>
      <c r="CP108" s="24">
        <v>5</v>
      </c>
      <c r="CQ108" s="24">
        <v>4</v>
      </c>
      <c r="CR108" s="24">
        <v>4</v>
      </c>
      <c r="CS108" s="24">
        <v>4</v>
      </c>
      <c r="CT108" s="24">
        <v>4</v>
      </c>
      <c r="CU108" s="24">
        <v>4</v>
      </c>
      <c r="CV108" s="24">
        <v>4</v>
      </c>
      <c r="CW108" s="24">
        <v>4</v>
      </c>
      <c r="CX108" s="24">
        <v>4</v>
      </c>
      <c r="CY108" s="24">
        <v>4</v>
      </c>
      <c r="CZ108" s="24">
        <v>4</v>
      </c>
      <c r="DA108" s="24">
        <v>4</v>
      </c>
      <c r="DB108" s="24" t="s">
        <v>295</v>
      </c>
      <c r="DC108" s="24">
        <v>4</v>
      </c>
      <c r="DD108" s="24" t="s">
        <v>281</v>
      </c>
      <c r="DE108" s="24" t="s">
        <v>136</v>
      </c>
      <c r="DF108" s="24">
        <v>4</v>
      </c>
      <c r="DG108" s="24">
        <v>4</v>
      </c>
      <c r="DH108" s="24">
        <v>4</v>
      </c>
      <c r="DI108" s="24" t="s">
        <v>1174</v>
      </c>
      <c r="DJ108" s="24" t="s">
        <v>902</v>
      </c>
      <c r="DK108" s="24" t="s">
        <v>1175</v>
      </c>
    </row>
    <row r="109" spans="1:115" ht="22.5" customHeight="1" x14ac:dyDescent="0.2">
      <c r="A109" s="23">
        <v>46065.519757291666</v>
      </c>
      <c r="B109" s="24" t="s">
        <v>1176</v>
      </c>
      <c r="C109" s="24">
        <v>0</v>
      </c>
      <c r="D109" s="24" t="s">
        <v>1177</v>
      </c>
      <c r="E109" s="24" t="s">
        <v>1178</v>
      </c>
      <c r="F109" s="24" t="s">
        <v>128</v>
      </c>
      <c r="G109" s="24">
        <v>60</v>
      </c>
      <c r="H109" s="25" t="s">
        <v>1179</v>
      </c>
      <c r="I109" s="24" t="s">
        <v>194</v>
      </c>
      <c r="J109" s="24" t="s">
        <v>301</v>
      </c>
      <c r="K109" s="24" t="s">
        <v>135</v>
      </c>
      <c r="M109" s="24" t="s">
        <v>136</v>
      </c>
      <c r="N109" s="24" t="s">
        <v>240</v>
      </c>
      <c r="O109" s="24" t="s">
        <v>199</v>
      </c>
      <c r="P109" s="24" t="s">
        <v>136</v>
      </c>
      <c r="Q109" s="24" t="s">
        <v>254</v>
      </c>
      <c r="R109" s="24" t="s">
        <v>199</v>
      </c>
      <c r="S109" s="24" t="s">
        <v>266</v>
      </c>
      <c r="T109" s="24" t="s">
        <v>136</v>
      </c>
      <c r="U109" s="24" t="s">
        <v>202</v>
      </c>
      <c r="V109" s="24" t="s">
        <v>199</v>
      </c>
      <c r="AI109" s="24" t="s">
        <v>144</v>
      </c>
      <c r="AJ109" s="24" t="s">
        <v>156</v>
      </c>
      <c r="AK109" s="24" t="s">
        <v>136</v>
      </c>
      <c r="AL109" s="24" t="s">
        <v>136</v>
      </c>
      <c r="AM109" s="24" t="s">
        <v>156</v>
      </c>
      <c r="AN109" s="24" t="s">
        <v>156</v>
      </c>
      <c r="AO109" s="24" t="s">
        <v>136</v>
      </c>
      <c r="AP109" s="24" t="s">
        <v>136</v>
      </c>
      <c r="AQ109" s="24" t="s">
        <v>156</v>
      </c>
      <c r="BN109" s="24" t="s">
        <v>167</v>
      </c>
      <c r="BO109" s="24" t="s">
        <v>136</v>
      </c>
      <c r="BP109" s="24" t="s">
        <v>1180</v>
      </c>
      <c r="BQ109" s="24" t="s">
        <v>137</v>
      </c>
      <c r="BR109" s="24" t="s">
        <v>168</v>
      </c>
      <c r="BS109" s="24" t="s">
        <v>169</v>
      </c>
      <c r="BT109" s="24" t="s">
        <v>170</v>
      </c>
      <c r="CB109" s="24" t="s">
        <v>149</v>
      </c>
      <c r="CC109" s="24" t="s">
        <v>150</v>
      </c>
      <c r="CD109" s="24" t="s">
        <v>151</v>
      </c>
      <c r="CE109" s="24" t="s">
        <v>204</v>
      </c>
      <c r="CF109" s="24" t="s">
        <v>153</v>
      </c>
      <c r="CG109" s="24">
        <v>4</v>
      </c>
      <c r="CH109" s="24" t="s">
        <v>154</v>
      </c>
      <c r="CI109" s="24" t="s">
        <v>374</v>
      </c>
      <c r="CJ109" s="24" t="s">
        <v>136</v>
      </c>
      <c r="CK109" s="24" t="s">
        <v>512</v>
      </c>
      <c r="CL109" s="24">
        <v>4</v>
      </c>
      <c r="CM109" s="24">
        <v>4</v>
      </c>
      <c r="CN109" s="24">
        <v>4</v>
      </c>
      <c r="CO109" s="24">
        <v>4</v>
      </c>
      <c r="CP109" s="24">
        <v>4</v>
      </c>
      <c r="CQ109" s="24">
        <v>2</v>
      </c>
      <c r="CR109" s="24">
        <v>2</v>
      </c>
      <c r="CS109" s="24">
        <v>2</v>
      </c>
      <c r="CT109" s="24">
        <v>2</v>
      </c>
      <c r="CU109" s="24">
        <v>3</v>
      </c>
      <c r="CV109" s="24">
        <v>4</v>
      </c>
      <c r="CW109" s="24">
        <v>4</v>
      </c>
      <c r="CX109" s="24">
        <v>4</v>
      </c>
      <c r="CY109" s="24">
        <v>4</v>
      </c>
      <c r="CZ109" s="24">
        <v>2</v>
      </c>
      <c r="DA109" s="24">
        <v>2</v>
      </c>
      <c r="DB109" s="24" t="s">
        <v>736</v>
      </c>
      <c r="DC109" s="24">
        <v>3</v>
      </c>
      <c r="DD109" s="24" t="s">
        <v>281</v>
      </c>
      <c r="DE109" s="24" t="s">
        <v>136</v>
      </c>
      <c r="DF109" s="24">
        <v>4</v>
      </c>
      <c r="DG109" s="24">
        <v>4</v>
      </c>
      <c r="DH109" s="24">
        <v>4</v>
      </c>
      <c r="DI109" s="24" t="s">
        <v>1073</v>
      </c>
      <c r="DJ109" s="24" t="s">
        <v>603</v>
      </c>
      <c r="DK109" s="24" t="s">
        <v>1181</v>
      </c>
    </row>
    <row r="110" spans="1:115" ht="22.5" customHeight="1" x14ac:dyDescent="0.2">
      <c r="A110" s="23">
        <v>46065.521206539357</v>
      </c>
      <c r="B110" s="24" t="s">
        <v>1182</v>
      </c>
      <c r="C110" s="24">
        <v>0</v>
      </c>
      <c r="D110" s="24" t="s">
        <v>1183</v>
      </c>
      <c r="E110" s="24" t="s">
        <v>1184</v>
      </c>
      <c r="F110" s="24" t="s">
        <v>128</v>
      </c>
      <c r="G110" s="24">
        <v>60</v>
      </c>
      <c r="H110" s="25" t="s">
        <v>1185</v>
      </c>
      <c r="I110" s="24" t="s">
        <v>194</v>
      </c>
      <c r="J110" s="24" t="s">
        <v>133</v>
      </c>
      <c r="K110" s="24" t="s">
        <v>135</v>
      </c>
      <c r="M110" s="24" t="s">
        <v>156</v>
      </c>
      <c r="N110" s="24" t="s">
        <v>215</v>
      </c>
      <c r="O110" s="24" t="s">
        <v>216</v>
      </c>
      <c r="P110" s="24" t="s">
        <v>136</v>
      </c>
      <c r="Q110" s="24" t="s">
        <v>502</v>
      </c>
      <c r="R110" s="24" t="s">
        <v>199</v>
      </c>
      <c r="S110" s="24" t="s">
        <v>266</v>
      </c>
      <c r="T110" s="24" t="s">
        <v>136</v>
      </c>
      <c r="U110" s="24" t="s">
        <v>241</v>
      </c>
      <c r="V110" s="24" t="s">
        <v>199</v>
      </c>
      <c r="AI110" s="24" t="s">
        <v>219</v>
      </c>
      <c r="AJ110" s="24" t="s">
        <v>136</v>
      </c>
      <c r="AK110" s="24" t="s">
        <v>136</v>
      </c>
      <c r="AL110" s="24" t="s">
        <v>136</v>
      </c>
      <c r="AM110" s="24" t="s">
        <v>136</v>
      </c>
      <c r="AN110" s="24" t="s">
        <v>156</v>
      </c>
      <c r="AO110" s="24" t="s">
        <v>136</v>
      </c>
      <c r="AP110" s="24" t="s">
        <v>136</v>
      </c>
      <c r="AQ110" s="24" t="s">
        <v>156</v>
      </c>
      <c r="BF110" s="24" t="s">
        <v>167</v>
      </c>
      <c r="BG110" s="24" t="s">
        <v>136</v>
      </c>
      <c r="BH110" s="24" t="s">
        <v>1186</v>
      </c>
      <c r="BJ110" s="24" t="s">
        <v>156</v>
      </c>
      <c r="BK110" s="24" t="s">
        <v>396</v>
      </c>
      <c r="BL110" s="24" t="s">
        <v>509</v>
      </c>
      <c r="BM110" s="24" t="s">
        <v>714</v>
      </c>
      <c r="BN110" s="24" t="s">
        <v>167</v>
      </c>
      <c r="BO110" s="24" t="s">
        <v>136</v>
      </c>
      <c r="BP110" s="24" t="s">
        <v>1187</v>
      </c>
      <c r="BR110" s="24" t="s">
        <v>168</v>
      </c>
      <c r="BS110" s="24" t="s">
        <v>169</v>
      </c>
      <c r="BT110" s="24" t="s">
        <v>170</v>
      </c>
      <c r="CB110" s="24" t="s">
        <v>267</v>
      </c>
      <c r="CC110" s="24" t="s">
        <v>150</v>
      </c>
      <c r="CD110" s="24" t="s">
        <v>171</v>
      </c>
      <c r="CE110" s="24" t="s">
        <v>152</v>
      </c>
      <c r="CF110" s="24" t="s">
        <v>243</v>
      </c>
      <c r="CG110" s="24">
        <v>4</v>
      </c>
      <c r="CH110" s="24" t="s">
        <v>244</v>
      </c>
      <c r="CI110" s="24" t="s">
        <v>259</v>
      </c>
      <c r="CJ110" s="24" t="s">
        <v>136</v>
      </c>
      <c r="CK110" s="24" t="s">
        <v>231</v>
      </c>
      <c r="CL110" s="24">
        <v>4</v>
      </c>
      <c r="CM110" s="24">
        <v>4</v>
      </c>
      <c r="CN110" s="24">
        <v>4</v>
      </c>
      <c r="CO110" s="24">
        <v>4</v>
      </c>
      <c r="CP110" s="24">
        <v>2</v>
      </c>
      <c r="CQ110" s="24">
        <v>2</v>
      </c>
      <c r="CR110" s="24">
        <v>2</v>
      </c>
      <c r="CS110" s="24">
        <v>2</v>
      </c>
      <c r="CT110" s="24">
        <v>2</v>
      </c>
      <c r="CU110" s="24">
        <v>2</v>
      </c>
      <c r="CV110" s="24">
        <v>2</v>
      </c>
      <c r="CW110" s="24">
        <v>2</v>
      </c>
      <c r="CX110" s="24">
        <v>2</v>
      </c>
      <c r="CY110" s="24">
        <v>3</v>
      </c>
      <c r="CZ110" s="24">
        <v>2</v>
      </c>
      <c r="DA110" s="24">
        <v>2</v>
      </c>
      <c r="DB110" s="24" t="s">
        <v>1188</v>
      </c>
      <c r="DC110" s="24">
        <v>4</v>
      </c>
      <c r="DD110" s="24" t="s">
        <v>1189</v>
      </c>
      <c r="DE110" s="24" t="s">
        <v>156</v>
      </c>
      <c r="DJ110" s="24" t="s">
        <v>159</v>
      </c>
      <c r="DK110" s="24" t="s">
        <v>137</v>
      </c>
    </row>
    <row r="111" spans="1:115" ht="22.5" customHeight="1" x14ac:dyDescent="0.2">
      <c r="A111" s="23">
        <v>46065.52141700231</v>
      </c>
      <c r="B111" s="24" t="s">
        <v>1190</v>
      </c>
      <c r="C111" s="24">
        <v>0</v>
      </c>
      <c r="D111" s="24" t="s">
        <v>1191</v>
      </c>
      <c r="E111" s="24" t="s">
        <v>1192</v>
      </c>
      <c r="F111" s="24" t="s">
        <v>128</v>
      </c>
      <c r="G111" s="24">
        <v>60</v>
      </c>
      <c r="H111" s="25" t="s">
        <v>1193</v>
      </c>
      <c r="I111" s="24" t="s">
        <v>194</v>
      </c>
      <c r="J111" s="24" t="s">
        <v>133</v>
      </c>
      <c r="K111" s="24" t="s">
        <v>345</v>
      </c>
      <c r="M111" s="24" t="s">
        <v>156</v>
      </c>
      <c r="N111" s="24" t="s">
        <v>215</v>
      </c>
      <c r="O111" s="24" t="s">
        <v>360</v>
      </c>
      <c r="P111" s="24" t="s">
        <v>156</v>
      </c>
      <c r="Q111" s="24" t="s">
        <v>215</v>
      </c>
      <c r="R111" s="24" t="s">
        <v>217</v>
      </c>
      <c r="S111" s="24" t="s">
        <v>266</v>
      </c>
      <c r="T111" s="24" t="s">
        <v>136</v>
      </c>
      <c r="U111" s="24" t="s">
        <v>202</v>
      </c>
      <c r="V111" s="24" t="s">
        <v>199</v>
      </c>
      <c r="AI111" s="24" t="s">
        <v>219</v>
      </c>
      <c r="AJ111" s="24" t="s">
        <v>136</v>
      </c>
      <c r="AK111" s="24" t="s">
        <v>136</v>
      </c>
      <c r="AL111" s="24" t="s">
        <v>136</v>
      </c>
      <c r="AM111" s="24" t="s">
        <v>156</v>
      </c>
      <c r="AN111" s="24" t="s">
        <v>156</v>
      </c>
      <c r="AO111" s="24" t="s">
        <v>156</v>
      </c>
      <c r="AP111" s="24" t="s">
        <v>156</v>
      </c>
      <c r="AQ111" s="24" t="s">
        <v>156</v>
      </c>
      <c r="BF111" s="24" t="s">
        <v>346</v>
      </c>
      <c r="BG111" s="24" t="s">
        <v>136</v>
      </c>
      <c r="BH111" s="24" t="s">
        <v>1194</v>
      </c>
      <c r="BJ111" s="24" t="s">
        <v>156</v>
      </c>
      <c r="BK111" s="24" t="s">
        <v>1110</v>
      </c>
      <c r="BL111" s="24" t="s">
        <v>386</v>
      </c>
      <c r="BM111" s="24" t="s">
        <v>223</v>
      </c>
      <c r="BN111" s="24" t="s">
        <v>346</v>
      </c>
      <c r="BO111" s="24" t="s">
        <v>156</v>
      </c>
      <c r="BR111" s="24" t="s">
        <v>146</v>
      </c>
      <c r="BS111" s="24" t="s">
        <v>169</v>
      </c>
      <c r="BT111" s="24" t="s">
        <v>170</v>
      </c>
      <c r="CB111" s="24" t="s">
        <v>267</v>
      </c>
      <c r="CC111" s="24" t="s">
        <v>150</v>
      </c>
      <c r="CD111" s="24" t="s">
        <v>171</v>
      </c>
      <c r="CE111" s="24" t="s">
        <v>204</v>
      </c>
      <c r="CF111" s="24" t="s">
        <v>153</v>
      </c>
      <c r="CG111" s="24">
        <v>4</v>
      </c>
      <c r="CH111" s="24" t="s">
        <v>481</v>
      </c>
      <c r="CI111" s="24" t="s">
        <v>259</v>
      </c>
      <c r="CJ111" s="24" t="s">
        <v>156</v>
      </c>
      <c r="CK111" s="24" t="s">
        <v>231</v>
      </c>
      <c r="CL111" s="24">
        <v>3</v>
      </c>
      <c r="CM111" s="24">
        <v>3</v>
      </c>
      <c r="CN111" s="24">
        <v>2</v>
      </c>
      <c r="CO111" s="24">
        <v>4</v>
      </c>
      <c r="CP111" s="24">
        <v>3</v>
      </c>
      <c r="CQ111" s="24">
        <v>3</v>
      </c>
      <c r="CR111" s="24">
        <v>2</v>
      </c>
      <c r="CS111" s="24">
        <v>4</v>
      </c>
      <c r="CT111" s="24">
        <v>2</v>
      </c>
      <c r="CU111" s="24">
        <v>2</v>
      </c>
      <c r="CV111" s="24">
        <v>2</v>
      </c>
      <c r="CW111" s="24">
        <v>2</v>
      </c>
      <c r="CX111" s="24">
        <v>2</v>
      </c>
      <c r="CY111" s="24">
        <v>2</v>
      </c>
      <c r="CZ111" s="24">
        <v>2</v>
      </c>
      <c r="DA111" s="24">
        <v>2</v>
      </c>
      <c r="DB111" s="24" t="s">
        <v>446</v>
      </c>
      <c r="DC111" s="24">
        <v>3</v>
      </c>
      <c r="DD111" s="24" t="s">
        <v>519</v>
      </c>
      <c r="DE111" s="24" t="s">
        <v>156</v>
      </c>
      <c r="DJ111" s="24" t="s">
        <v>159</v>
      </c>
      <c r="DK111" s="24" t="s">
        <v>1195</v>
      </c>
    </row>
    <row r="112" spans="1:115" ht="22.5" customHeight="1" x14ac:dyDescent="0.2">
      <c r="A112" s="23">
        <v>46065.52187556713</v>
      </c>
      <c r="B112" s="24" t="s">
        <v>1196</v>
      </c>
      <c r="C112" s="24">
        <v>0</v>
      </c>
      <c r="D112" s="24" t="s">
        <v>1197</v>
      </c>
      <c r="E112" s="24" t="s">
        <v>1198</v>
      </c>
      <c r="F112" s="24" t="s">
        <v>128</v>
      </c>
      <c r="G112" s="24">
        <v>60</v>
      </c>
      <c r="H112" s="25" t="s">
        <v>1199</v>
      </c>
      <c r="I112" s="24" t="s">
        <v>194</v>
      </c>
      <c r="J112" s="24" t="s">
        <v>301</v>
      </c>
      <c r="K112" s="24" t="s">
        <v>135</v>
      </c>
      <c r="M112" s="24" t="s">
        <v>136</v>
      </c>
      <c r="N112" s="24" t="s">
        <v>425</v>
      </c>
      <c r="O112" s="24" t="s">
        <v>199</v>
      </c>
      <c r="P112" s="24" t="s">
        <v>156</v>
      </c>
      <c r="Q112" s="24" t="s">
        <v>215</v>
      </c>
      <c r="R112" s="24" t="s">
        <v>270</v>
      </c>
      <c r="S112" s="24" t="s">
        <v>255</v>
      </c>
      <c r="T112" s="24" t="s">
        <v>136</v>
      </c>
      <c r="U112" s="24" t="s">
        <v>356</v>
      </c>
      <c r="V112" s="24" t="s">
        <v>199</v>
      </c>
      <c r="AI112" s="24" t="s">
        <v>219</v>
      </c>
      <c r="AJ112" s="24" t="s">
        <v>136</v>
      </c>
      <c r="AK112" s="24" t="s">
        <v>136</v>
      </c>
      <c r="AL112" s="24" t="s">
        <v>136</v>
      </c>
      <c r="AM112" s="24" t="s">
        <v>136</v>
      </c>
      <c r="AN112" s="24" t="s">
        <v>136</v>
      </c>
      <c r="AO112" s="24" t="s">
        <v>136</v>
      </c>
      <c r="AP112" s="24" t="s">
        <v>136</v>
      </c>
      <c r="AQ112" s="24" t="s">
        <v>136</v>
      </c>
      <c r="BF112" s="24" t="s">
        <v>305</v>
      </c>
      <c r="BG112" s="24" t="s">
        <v>136</v>
      </c>
      <c r="BH112" s="24" t="s">
        <v>1200</v>
      </c>
      <c r="BJ112" s="24" t="s">
        <v>156</v>
      </c>
      <c r="BK112" s="24" t="s">
        <v>1110</v>
      </c>
      <c r="BL112" s="24" t="s">
        <v>386</v>
      </c>
      <c r="BM112" s="24" t="s">
        <v>223</v>
      </c>
      <c r="BN112" s="24" t="s">
        <v>346</v>
      </c>
      <c r="BO112" s="24" t="s">
        <v>156</v>
      </c>
      <c r="BR112" s="24" t="s">
        <v>226</v>
      </c>
      <c r="BS112" s="24" t="s">
        <v>388</v>
      </c>
      <c r="BT112" s="24" t="s">
        <v>227</v>
      </c>
      <c r="CB112" s="24" t="s">
        <v>267</v>
      </c>
      <c r="CC112" s="24" t="s">
        <v>150</v>
      </c>
      <c r="CD112" s="24" t="s">
        <v>171</v>
      </c>
      <c r="CE112" s="24" t="s">
        <v>204</v>
      </c>
      <c r="CF112" s="24" t="s">
        <v>153</v>
      </c>
      <c r="CG112" s="24">
        <v>4</v>
      </c>
      <c r="CH112" s="24" t="s">
        <v>172</v>
      </c>
      <c r="CI112" s="24" t="s">
        <v>392</v>
      </c>
      <c r="CJ112" s="24" t="s">
        <v>136</v>
      </c>
      <c r="CK112" s="24" t="s">
        <v>537</v>
      </c>
      <c r="CL112" s="24">
        <v>3</v>
      </c>
      <c r="CM112" s="24">
        <v>4</v>
      </c>
      <c r="CN112" s="24">
        <v>4</v>
      </c>
      <c r="CO112" s="24">
        <v>4</v>
      </c>
      <c r="CP112" s="24">
        <v>5</v>
      </c>
      <c r="CQ112" s="24">
        <v>4</v>
      </c>
      <c r="CR112" s="24">
        <v>4</v>
      </c>
      <c r="CS112" s="24">
        <v>4</v>
      </c>
      <c r="CT112" s="24">
        <v>4</v>
      </c>
      <c r="CU112" s="24">
        <v>4</v>
      </c>
      <c r="CV112" s="24">
        <v>4</v>
      </c>
      <c r="CW112" s="24">
        <v>4</v>
      </c>
      <c r="CX112" s="24">
        <v>4</v>
      </c>
      <c r="CY112" s="24">
        <v>4</v>
      </c>
      <c r="CZ112" s="24">
        <v>4</v>
      </c>
      <c r="DA112" s="24">
        <v>4</v>
      </c>
      <c r="DB112" s="24" t="s">
        <v>247</v>
      </c>
      <c r="DC112" s="24">
        <v>4</v>
      </c>
      <c r="DD112" s="24" t="s">
        <v>343</v>
      </c>
      <c r="DE112" s="24" t="s">
        <v>136</v>
      </c>
      <c r="DF112" s="24">
        <v>4</v>
      </c>
      <c r="DG112" s="24">
        <v>4</v>
      </c>
      <c r="DH112" s="24">
        <v>4</v>
      </c>
      <c r="DI112" s="24" t="s">
        <v>1201</v>
      </c>
      <c r="DJ112" s="24" t="s">
        <v>262</v>
      </c>
      <c r="DK112" s="24" t="s">
        <v>189</v>
      </c>
    </row>
    <row r="113" spans="1:115" ht="22.5" customHeight="1" x14ac:dyDescent="0.2">
      <c r="A113" s="23">
        <v>46065.522576655094</v>
      </c>
      <c r="B113" s="24" t="s">
        <v>1202</v>
      </c>
      <c r="C113" s="24">
        <v>0</v>
      </c>
      <c r="D113" s="24" t="s">
        <v>1203</v>
      </c>
      <c r="E113" s="24" t="s">
        <v>1204</v>
      </c>
      <c r="F113" s="24" t="s">
        <v>128</v>
      </c>
      <c r="G113" s="24">
        <v>61</v>
      </c>
      <c r="H113" s="25" t="s">
        <v>1205</v>
      </c>
      <c r="I113" s="24" t="s">
        <v>194</v>
      </c>
      <c r="J113" s="24" t="s">
        <v>133</v>
      </c>
      <c r="K113" s="24" t="s">
        <v>135</v>
      </c>
      <c r="M113" s="24" t="s">
        <v>156</v>
      </c>
      <c r="N113" s="24" t="s">
        <v>198</v>
      </c>
      <c r="O113" s="24" t="s">
        <v>355</v>
      </c>
      <c r="P113" s="24" t="s">
        <v>136</v>
      </c>
      <c r="Q113" s="24" t="s">
        <v>254</v>
      </c>
      <c r="R113" s="24" t="s">
        <v>199</v>
      </c>
      <c r="S113" s="24" t="s">
        <v>218</v>
      </c>
      <c r="T113" s="24" t="s">
        <v>136</v>
      </c>
      <c r="U113" s="24" t="s">
        <v>256</v>
      </c>
      <c r="V113" s="24" t="s">
        <v>985</v>
      </c>
      <c r="AI113" s="24" t="s">
        <v>219</v>
      </c>
      <c r="AJ113" s="24" t="s">
        <v>156</v>
      </c>
      <c r="AK113" s="24" t="s">
        <v>136</v>
      </c>
      <c r="AL113" s="24" t="s">
        <v>156</v>
      </c>
      <c r="AM113" s="24" t="s">
        <v>136</v>
      </c>
      <c r="AN113" s="24" t="s">
        <v>136</v>
      </c>
      <c r="AO113" s="24" t="s">
        <v>156</v>
      </c>
      <c r="AP113" s="24" t="s">
        <v>136</v>
      </c>
      <c r="AQ113" s="24" t="s">
        <v>136</v>
      </c>
      <c r="BF113" s="24" t="s">
        <v>167</v>
      </c>
      <c r="BG113" s="24" t="s">
        <v>156</v>
      </c>
      <c r="BH113" s="24" t="s">
        <v>137</v>
      </c>
      <c r="BI113" s="24" t="s">
        <v>1206</v>
      </c>
      <c r="BJ113" s="24" t="s">
        <v>156</v>
      </c>
      <c r="BK113" s="24" t="s">
        <v>221</v>
      </c>
      <c r="BL113" s="24" t="s">
        <v>222</v>
      </c>
      <c r="BM113" s="24" t="s">
        <v>223</v>
      </c>
      <c r="BN113" s="24" t="s">
        <v>167</v>
      </c>
      <c r="BO113" s="24" t="s">
        <v>156</v>
      </c>
      <c r="BP113" s="24" t="s">
        <v>137</v>
      </c>
      <c r="BQ113" s="24" t="s">
        <v>1207</v>
      </c>
      <c r="BR113" s="24" t="s">
        <v>146</v>
      </c>
      <c r="BS113" s="24" t="s">
        <v>388</v>
      </c>
      <c r="BT113" s="24" t="s">
        <v>227</v>
      </c>
      <c r="CB113" s="24" t="s">
        <v>228</v>
      </c>
      <c r="CC113" s="24" t="s">
        <v>150</v>
      </c>
      <c r="CD113" s="24" t="s">
        <v>322</v>
      </c>
      <c r="CE113" s="24" t="s">
        <v>152</v>
      </c>
      <c r="CF113" s="24" t="s">
        <v>153</v>
      </c>
      <c r="CG113" s="24">
        <v>2</v>
      </c>
      <c r="CH113" s="24" t="s">
        <v>434</v>
      </c>
      <c r="CI113" s="24" t="s">
        <v>259</v>
      </c>
      <c r="CJ113" s="24" t="s">
        <v>136</v>
      </c>
      <c r="CK113" s="24" t="s">
        <v>231</v>
      </c>
      <c r="CL113" s="24">
        <v>3</v>
      </c>
      <c r="CM113" s="24">
        <v>3</v>
      </c>
      <c r="CN113" s="24">
        <v>3</v>
      </c>
      <c r="CO113" s="24">
        <v>3</v>
      </c>
      <c r="CP113" s="24">
        <v>4</v>
      </c>
      <c r="CQ113" s="24">
        <v>3</v>
      </c>
      <c r="CR113" s="24">
        <v>3</v>
      </c>
      <c r="CS113" s="24">
        <v>3</v>
      </c>
      <c r="CT113" s="24">
        <v>3</v>
      </c>
      <c r="CU113" s="24">
        <v>3</v>
      </c>
      <c r="CV113" s="24">
        <v>2</v>
      </c>
      <c r="CW113" s="24">
        <v>1</v>
      </c>
      <c r="CX113" s="24">
        <v>3</v>
      </c>
      <c r="CY113" s="24">
        <v>1</v>
      </c>
      <c r="CZ113" s="24">
        <v>4</v>
      </c>
      <c r="DA113" s="24">
        <v>2</v>
      </c>
      <c r="DB113" s="24" t="s">
        <v>413</v>
      </c>
      <c r="DC113" s="24">
        <v>3</v>
      </c>
      <c r="DD113" s="24" t="s">
        <v>363</v>
      </c>
      <c r="DE113" s="24" t="s">
        <v>156</v>
      </c>
      <c r="DJ113" s="24" t="s">
        <v>262</v>
      </c>
      <c r="DK113" s="24" t="s">
        <v>137</v>
      </c>
    </row>
    <row r="114" spans="1:115" ht="22.5" customHeight="1" x14ac:dyDescent="0.2">
      <c r="A114" s="23">
        <v>46065.563570196755</v>
      </c>
      <c r="B114" s="24" t="s">
        <v>368</v>
      </c>
      <c r="C114" s="24">
        <v>0</v>
      </c>
      <c r="D114" s="24" t="s">
        <v>369</v>
      </c>
      <c r="E114" s="24" t="s">
        <v>370</v>
      </c>
      <c r="F114" s="24" t="s">
        <v>163</v>
      </c>
      <c r="G114" s="24">
        <v>61</v>
      </c>
      <c r="H114" s="25" t="s">
        <v>371</v>
      </c>
      <c r="I114" s="24" t="s">
        <v>132</v>
      </c>
      <c r="J114" s="24" t="s">
        <v>133</v>
      </c>
      <c r="K114" s="24" t="s">
        <v>269</v>
      </c>
      <c r="M114" s="24" t="s">
        <v>136</v>
      </c>
      <c r="N114" s="24" t="s">
        <v>240</v>
      </c>
      <c r="O114" s="24" t="s">
        <v>199</v>
      </c>
      <c r="P114" s="24" t="s">
        <v>156</v>
      </c>
      <c r="Q114" s="24" t="s">
        <v>215</v>
      </c>
      <c r="R114" s="24" t="s">
        <v>270</v>
      </c>
      <c r="S114" s="24" t="s">
        <v>544</v>
      </c>
      <c r="T114" s="24" t="s">
        <v>136</v>
      </c>
      <c r="U114" s="24" t="s">
        <v>356</v>
      </c>
      <c r="V114" s="24" t="s">
        <v>199</v>
      </c>
      <c r="AI114" s="24" t="s">
        <v>319</v>
      </c>
      <c r="AJ114" s="24" t="s">
        <v>136</v>
      </c>
      <c r="AK114" s="24" t="s">
        <v>136</v>
      </c>
      <c r="AL114" s="24" t="s">
        <v>136</v>
      </c>
      <c r="AM114" s="24" t="s">
        <v>136</v>
      </c>
      <c r="AN114" s="24" t="s">
        <v>136</v>
      </c>
      <c r="AO114" s="24" t="s">
        <v>136</v>
      </c>
      <c r="AP114" s="24" t="s">
        <v>156</v>
      </c>
      <c r="AQ114" s="24" t="s">
        <v>156</v>
      </c>
      <c r="AY114" s="24" t="s">
        <v>305</v>
      </c>
      <c r="AZ114" s="24" t="s">
        <v>136</v>
      </c>
      <c r="BA114" s="24" t="s">
        <v>1208</v>
      </c>
      <c r="BC114" s="24" t="s">
        <v>320</v>
      </c>
      <c r="BD114" s="24" t="s">
        <v>372</v>
      </c>
      <c r="BE114" s="24" t="s">
        <v>373</v>
      </c>
      <c r="CB114" s="24" t="s">
        <v>267</v>
      </c>
      <c r="CC114" s="24" t="s">
        <v>150</v>
      </c>
      <c r="CD114" s="24" t="s">
        <v>322</v>
      </c>
      <c r="CE114" s="24" t="s">
        <v>152</v>
      </c>
      <c r="CF114" s="24" t="s">
        <v>243</v>
      </c>
      <c r="CG114" s="24">
        <v>4</v>
      </c>
      <c r="CH114" s="24" t="s">
        <v>244</v>
      </c>
      <c r="CI114" s="24" t="s">
        <v>374</v>
      </c>
      <c r="CJ114" s="24" t="s">
        <v>136</v>
      </c>
      <c r="CK114" s="24" t="s">
        <v>279</v>
      </c>
      <c r="CL114" s="24">
        <v>3</v>
      </c>
      <c r="CM114" s="24">
        <v>3</v>
      </c>
      <c r="CN114" s="24">
        <v>3</v>
      </c>
      <c r="CO114" s="24">
        <v>3</v>
      </c>
      <c r="CP114" s="24">
        <v>4</v>
      </c>
      <c r="CQ114" s="24">
        <v>3</v>
      </c>
      <c r="CR114" s="24">
        <v>3</v>
      </c>
      <c r="CS114" s="24">
        <v>3</v>
      </c>
      <c r="CT114" s="24">
        <v>3</v>
      </c>
      <c r="CU114" s="24">
        <v>3</v>
      </c>
      <c r="CV114" s="24">
        <v>3</v>
      </c>
      <c r="CW114" s="24">
        <v>2</v>
      </c>
      <c r="CX114" s="24">
        <v>3</v>
      </c>
      <c r="CY114" s="24">
        <v>4</v>
      </c>
      <c r="CZ114" s="24">
        <v>3</v>
      </c>
      <c r="DA114" s="24">
        <v>3</v>
      </c>
      <c r="DB114" s="24" t="s">
        <v>274</v>
      </c>
      <c r="DC114" s="24">
        <v>4</v>
      </c>
      <c r="DD114" s="24" t="s">
        <v>380</v>
      </c>
      <c r="DE114" s="24" t="s">
        <v>136</v>
      </c>
      <c r="DF114" s="24">
        <v>4</v>
      </c>
      <c r="DG114" s="24">
        <v>4</v>
      </c>
      <c r="DH114" s="24">
        <v>4</v>
      </c>
      <c r="DI114" s="24" t="s">
        <v>1209</v>
      </c>
      <c r="DJ114" s="24" t="s">
        <v>188</v>
      </c>
      <c r="DK114" s="24" t="s">
        <v>941</v>
      </c>
    </row>
    <row r="115" spans="1:115" ht="22.5" customHeight="1" x14ac:dyDescent="0.2">
      <c r="A115" s="23">
        <v>46065.616648101852</v>
      </c>
      <c r="B115" s="24" t="s">
        <v>1210</v>
      </c>
      <c r="C115" s="24">
        <v>0</v>
      </c>
      <c r="D115" s="24" t="s">
        <v>1211</v>
      </c>
      <c r="E115" s="24" t="s">
        <v>1212</v>
      </c>
      <c r="F115" s="24" t="s">
        <v>128</v>
      </c>
      <c r="G115" s="24">
        <v>61</v>
      </c>
      <c r="H115" s="25" t="s">
        <v>1213</v>
      </c>
      <c r="I115" s="24" t="s">
        <v>194</v>
      </c>
      <c r="J115" s="24" t="s">
        <v>195</v>
      </c>
      <c r="K115" s="24" t="s">
        <v>269</v>
      </c>
      <c r="L115" s="24" t="s">
        <v>359</v>
      </c>
      <c r="M115" s="24" t="s">
        <v>136</v>
      </c>
      <c r="N115" s="24" t="s">
        <v>240</v>
      </c>
      <c r="O115" s="24" t="s">
        <v>199</v>
      </c>
      <c r="P115" s="24" t="s">
        <v>156</v>
      </c>
      <c r="Q115" s="24" t="s">
        <v>215</v>
      </c>
      <c r="R115" s="24" t="s">
        <v>217</v>
      </c>
      <c r="S115" s="24" t="s">
        <v>255</v>
      </c>
      <c r="T115" s="24" t="s">
        <v>136</v>
      </c>
      <c r="U115" s="24" t="s">
        <v>202</v>
      </c>
      <c r="V115" s="24" t="s">
        <v>199</v>
      </c>
      <c r="AI115" s="24" t="s">
        <v>304</v>
      </c>
      <c r="AJ115" s="24" t="s">
        <v>136</v>
      </c>
      <c r="AK115" s="24" t="s">
        <v>136</v>
      </c>
      <c r="AL115" s="24" t="s">
        <v>136</v>
      </c>
      <c r="AM115" s="24" t="s">
        <v>156</v>
      </c>
      <c r="AN115" s="24" t="s">
        <v>136</v>
      </c>
      <c r="AO115" s="24" t="s">
        <v>136</v>
      </c>
      <c r="AP115" s="24" t="s">
        <v>136</v>
      </c>
      <c r="AQ115" s="24" t="s">
        <v>136</v>
      </c>
      <c r="BU115" s="24" t="s">
        <v>346</v>
      </c>
      <c r="BV115" s="24" t="s">
        <v>156</v>
      </c>
      <c r="BX115" s="24" t="s">
        <v>1214</v>
      </c>
      <c r="BY115" s="24" t="s">
        <v>306</v>
      </c>
      <c r="BZ115" s="24" t="s">
        <v>337</v>
      </c>
      <c r="CA115" s="24" t="s">
        <v>377</v>
      </c>
      <c r="CB115" s="24" t="s">
        <v>149</v>
      </c>
      <c r="CC115" s="24" t="s">
        <v>242</v>
      </c>
      <c r="CD115" s="24" t="s">
        <v>229</v>
      </c>
      <c r="CE115" s="24" t="s">
        <v>152</v>
      </c>
      <c r="CF115" s="24" t="s">
        <v>153</v>
      </c>
      <c r="CG115" s="24">
        <v>4</v>
      </c>
      <c r="CH115" s="24" t="s">
        <v>286</v>
      </c>
      <c r="CI115" s="24" t="s">
        <v>429</v>
      </c>
      <c r="CJ115" s="24" t="s">
        <v>136</v>
      </c>
      <c r="CK115" s="24" t="s">
        <v>400</v>
      </c>
      <c r="CL115" s="24">
        <v>4</v>
      </c>
      <c r="CM115" s="24">
        <v>4</v>
      </c>
      <c r="CN115" s="24">
        <v>4</v>
      </c>
      <c r="CO115" s="24">
        <v>4</v>
      </c>
      <c r="CP115" s="24">
        <v>5</v>
      </c>
      <c r="CQ115" s="24">
        <v>4</v>
      </c>
      <c r="CR115" s="24">
        <v>4</v>
      </c>
      <c r="CS115" s="24">
        <v>4</v>
      </c>
      <c r="CT115" s="24">
        <v>4</v>
      </c>
      <c r="CU115" s="24">
        <v>4</v>
      </c>
      <c r="CV115" s="24">
        <v>4</v>
      </c>
      <c r="CW115" s="24">
        <v>4</v>
      </c>
      <c r="CX115" s="24">
        <v>4</v>
      </c>
      <c r="CY115" s="24">
        <v>4</v>
      </c>
      <c r="CZ115" s="24">
        <v>4</v>
      </c>
      <c r="DA115" s="24">
        <v>3</v>
      </c>
      <c r="DB115" s="24" t="s">
        <v>315</v>
      </c>
      <c r="DC115" s="24">
        <v>2</v>
      </c>
      <c r="DD115" s="24" t="s">
        <v>1215</v>
      </c>
      <c r="DE115" s="24" t="s">
        <v>136</v>
      </c>
      <c r="DF115" s="24">
        <v>3</v>
      </c>
      <c r="DG115" s="24">
        <v>3</v>
      </c>
      <c r="DH115" s="24">
        <v>1</v>
      </c>
      <c r="DI115" s="24" t="s">
        <v>158</v>
      </c>
      <c r="DJ115" s="24" t="s">
        <v>262</v>
      </c>
      <c r="DK115" s="24" t="s">
        <v>1216</v>
      </c>
    </row>
    <row r="116" spans="1:115" ht="22.5" customHeight="1" x14ac:dyDescent="0.2">
      <c r="A116" s="23">
        <v>46065.629632349533</v>
      </c>
      <c r="B116" s="24" t="s">
        <v>1217</v>
      </c>
      <c r="C116" s="24">
        <v>0</v>
      </c>
      <c r="D116" s="24" t="s">
        <v>1218</v>
      </c>
      <c r="E116" s="24" t="s">
        <v>1219</v>
      </c>
      <c r="F116" s="24" t="s">
        <v>163</v>
      </c>
      <c r="G116" s="24">
        <v>61</v>
      </c>
      <c r="H116" s="25" t="s">
        <v>1220</v>
      </c>
      <c r="I116" s="24" t="s">
        <v>275</v>
      </c>
      <c r="J116" s="24" t="s">
        <v>133</v>
      </c>
      <c r="K116" s="24" t="s">
        <v>317</v>
      </c>
      <c r="M116" s="24" t="s">
        <v>136</v>
      </c>
      <c r="N116" s="24" t="s">
        <v>264</v>
      </c>
      <c r="O116" s="24" t="s">
        <v>199</v>
      </c>
      <c r="P116" s="24" t="s">
        <v>136</v>
      </c>
      <c r="Q116" s="24" t="s">
        <v>502</v>
      </c>
      <c r="R116" s="24" t="s">
        <v>199</v>
      </c>
      <c r="S116" s="24" t="s">
        <v>277</v>
      </c>
      <c r="T116" s="24" t="s">
        <v>136</v>
      </c>
      <c r="U116" s="24" t="s">
        <v>241</v>
      </c>
      <c r="V116" s="24" t="s">
        <v>199</v>
      </c>
      <c r="AI116" s="24" t="s">
        <v>319</v>
      </c>
      <c r="AJ116" s="24" t="s">
        <v>136</v>
      </c>
      <c r="AK116" s="24" t="s">
        <v>156</v>
      </c>
      <c r="AL116" s="24" t="s">
        <v>136</v>
      </c>
      <c r="AM116" s="24" t="s">
        <v>136</v>
      </c>
      <c r="AN116" s="24" t="s">
        <v>136</v>
      </c>
      <c r="AO116" s="24" t="s">
        <v>156</v>
      </c>
      <c r="AP116" s="24" t="s">
        <v>136</v>
      </c>
      <c r="AQ116" s="24" t="s">
        <v>156</v>
      </c>
      <c r="AY116" s="24" t="s">
        <v>167</v>
      </c>
      <c r="AZ116" s="24" t="s">
        <v>156</v>
      </c>
      <c r="BB116" s="24" t="s">
        <v>1221</v>
      </c>
      <c r="BC116" s="24" t="s">
        <v>320</v>
      </c>
      <c r="BD116" s="24" t="s">
        <v>321</v>
      </c>
      <c r="BE116" s="24" t="s">
        <v>394</v>
      </c>
      <c r="CB116" s="24" t="s">
        <v>149</v>
      </c>
      <c r="CC116" s="24" t="s">
        <v>150</v>
      </c>
      <c r="CD116" s="24" t="s">
        <v>151</v>
      </c>
      <c r="CE116" s="24" t="s">
        <v>204</v>
      </c>
      <c r="CF116" s="24" t="s">
        <v>243</v>
      </c>
      <c r="CG116" s="24">
        <v>4</v>
      </c>
      <c r="CH116" s="24" t="s">
        <v>154</v>
      </c>
      <c r="CI116" s="24" t="s">
        <v>398</v>
      </c>
      <c r="CJ116" s="24" t="s">
        <v>136</v>
      </c>
      <c r="CK116" s="24" t="s">
        <v>438</v>
      </c>
      <c r="CL116" s="24">
        <v>2</v>
      </c>
      <c r="CM116" s="24">
        <v>2</v>
      </c>
      <c r="CN116" s="24">
        <v>2</v>
      </c>
      <c r="CO116" s="24">
        <v>4</v>
      </c>
      <c r="CP116" s="24">
        <v>3</v>
      </c>
      <c r="CQ116" s="24">
        <v>2</v>
      </c>
      <c r="CR116" s="24">
        <v>2</v>
      </c>
      <c r="CS116" s="24">
        <v>3</v>
      </c>
      <c r="CT116" s="24">
        <v>2</v>
      </c>
      <c r="CU116" s="24">
        <v>2</v>
      </c>
      <c r="CV116" s="24">
        <v>4</v>
      </c>
      <c r="CW116" s="24">
        <v>3</v>
      </c>
      <c r="CX116" s="24">
        <v>4</v>
      </c>
      <c r="CY116" s="24">
        <v>3</v>
      </c>
      <c r="CZ116" s="24">
        <v>2</v>
      </c>
      <c r="DA116" s="24">
        <v>2</v>
      </c>
      <c r="DB116" s="24" t="s">
        <v>366</v>
      </c>
      <c r="DC116" s="24">
        <v>4</v>
      </c>
      <c r="DD116" s="24" t="s">
        <v>744</v>
      </c>
      <c r="DE116" s="24" t="s">
        <v>156</v>
      </c>
      <c r="DJ116" s="24" t="s">
        <v>603</v>
      </c>
      <c r="DK116" s="24" t="s">
        <v>137</v>
      </c>
    </row>
    <row r="117" spans="1:115" ht="22.5" customHeight="1" x14ac:dyDescent="0.2">
      <c r="A117" s="23">
        <v>46065.635548275459</v>
      </c>
      <c r="B117" s="24" t="s">
        <v>1222</v>
      </c>
      <c r="C117" s="24">
        <v>0</v>
      </c>
      <c r="D117" s="24" t="s">
        <v>1223</v>
      </c>
      <c r="E117" s="24" t="s">
        <v>1224</v>
      </c>
      <c r="F117" s="24" t="s">
        <v>128</v>
      </c>
      <c r="G117" s="24">
        <v>62</v>
      </c>
      <c r="H117" s="25" t="s">
        <v>1225</v>
      </c>
      <c r="I117" s="24" t="s">
        <v>132</v>
      </c>
      <c r="J117" s="24" t="s">
        <v>133</v>
      </c>
      <c r="K117" s="24" t="s">
        <v>135</v>
      </c>
      <c r="M117" s="24" t="s">
        <v>136</v>
      </c>
      <c r="N117" s="24" t="s">
        <v>198</v>
      </c>
      <c r="O117" s="24" t="s">
        <v>355</v>
      </c>
      <c r="P117" s="24" t="s">
        <v>156</v>
      </c>
      <c r="Q117" s="24" t="s">
        <v>502</v>
      </c>
      <c r="R117" s="24" t="s">
        <v>382</v>
      </c>
      <c r="S117" s="24" t="s">
        <v>218</v>
      </c>
      <c r="T117" s="24" t="s">
        <v>136</v>
      </c>
      <c r="U117" s="24" t="s">
        <v>241</v>
      </c>
      <c r="V117" s="24" t="s">
        <v>199</v>
      </c>
      <c r="AI117" s="24" t="s">
        <v>219</v>
      </c>
      <c r="AJ117" s="24" t="s">
        <v>136</v>
      </c>
      <c r="AK117" s="24" t="s">
        <v>136</v>
      </c>
      <c r="AL117" s="24" t="s">
        <v>156</v>
      </c>
      <c r="AM117" s="24" t="s">
        <v>136</v>
      </c>
      <c r="AN117" s="24" t="s">
        <v>156</v>
      </c>
      <c r="AO117" s="24" t="s">
        <v>136</v>
      </c>
      <c r="AP117" s="24" t="s">
        <v>136</v>
      </c>
      <c r="AQ117" s="24" t="s">
        <v>156</v>
      </c>
      <c r="BF117" s="24" t="s">
        <v>167</v>
      </c>
      <c r="BG117" s="24" t="s">
        <v>156</v>
      </c>
      <c r="BI117" s="24" t="s">
        <v>1226</v>
      </c>
      <c r="BJ117" s="24" t="s">
        <v>156</v>
      </c>
      <c r="BK117" s="24" t="s">
        <v>221</v>
      </c>
      <c r="BL117" s="24" t="s">
        <v>986</v>
      </c>
      <c r="BM117" s="24" t="s">
        <v>223</v>
      </c>
      <c r="BN117" s="24" t="s">
        <v>167</v>
      </c>
      <c r="BO117" s="24" t="s">
        <v>136</v>
      </c>
      <c r="BP117" s="24" t="s">
        <v>1227</v>
      </c>
      <c r="BR117" s="24" t="s">
        <v>271</v>
      </c>
      <c r="BS117" s="24" t="s">
        <v>147</v>
      </c>
      <c r="BT117" s="24" t="s">
        <v>227</v>
      </c>
      <c r="CB117" s="24" t="s">
        <v>149</v>
      </c>
      <c r="CC117" s="24" t="s">
        <v>150</v>
      </c>
      <c r="CD117" s="24" t="s">
        <v>151</v>
      </c>
      <c r="CE117" s="24" t="s">
        <v>152</v>
      </c>
      <c r="CF117" s="24" t="s">
        <v>153</v>
      </c>
      <c r="CG117" s="24">
        <v>4</v>
      </c>
      <c r="CH117" s="24" t="s">
        <v>286</v>
      </c>
      <c r="CI117" s="24" t="s">
        <v>314</v>
      </c>
      <c r="CJ117" s="24" t="s">
        <v>156</v>
      </c>
      <c r="CK117" s="24" t="s">
        <v>207</v>
      </c>
      <c r="CL117" s="24">
        <v>1</v>
      </c>
      <c r="CM117" s="24">
        <v>1</v>
      </c>
      <c r="CN117" s="24">
        <v>3</v>
      </c>
      <c r="CO117" s="24">
        <v>3</v>
      </c>
      <c r="CP117" s="24">
        <v>1</v>
      </c>
      <c r="CQ117" s="24">
        <v>1</v>
      </c>
      <c r="CR117" s="24">
        <v>3</v>
      </c>
      <c r="CS117" s="24">
        <v>3</v>
      </c>
      <c r="CT117" s="24">
        <v>1</v>
      </c>
      <c r="CU117" s="24">
        <v>3</v>
      </c>
      <c r="CV117" s="24">
        <v>3</v>
      </c>
      <c r="CW117" s="24">
        <v>1</v>
      </c>
      <c r="CX117" s="24">
        <v>3</v>
      </c>
      <c r="CY117" s="24">
        <v>3</v>
      </c>
      <c r="CZ117" s="24">
        <v>1</v>
      </c>
      <c r="DA117" s="24">
        <v>1</v>
      </c>
      <c r="DB117" s="24" t="s">
        <v>383</v>
      </c>
      <c r="DC117" s="24">
        <v>2</v>
      </c>
      <c r="DD117" s="24" t="s">
        <v>353</v>
      </c>
      <c r="DE117" s="24" t="s">
        <v>156</v>
      </c>
      <c r="DJ117" s="24" t="s">
        <v>210</v>
      </c>
      <c r="DK117" s="24" t="s">
        <v>1228</v>
      </c>
    </row>
    <row r="118" spans="1:115" ht="22.5" customHeight="1" x14ac:dyDescent="0.2">
      <c r="A118" s="23">
        <v>46065.703541979165</v>
      </c>
      <c r="B118" s="24" t="s">
        <v>1229</v>
      </c>
      <c r="C118" s="24">
        <v>0</v>
      </c>
      <c r="D118" s="24" t="s">
        <v>1230</v>
      </c>
      <c r="E118" s="24" t="s">
        <v>1231</v>
      </c>
      <c r="F118" s="24" t="s">
        <v>163</v>
      </c>
      <c r="G118" s="24">
        <v>60</v>
      </c>
      <c r="H118" s="25" t="s">
        <v>1232</v>
      </c>
      <c r="I118" s="24" t="s">
        <v>194</v>
      </c>
      <c r="J118" s="24" t="s">
        <v>344</v>
      </c>
      <c r="K118" s="24" t="s">
        <v>135</v>
      </c>
      <c r="M118" s="24" t="s">
        <v>136</v>
      </c>
      <c r="N118" s="24" t="s">
        <v>240</v>
      </c>
      <c r="O118" s="24" t="s">
        <v>199</v>
      </c>
      <c r="P118" s="24" t="s">
        <v>156</v>
      </c>
      <c r="Q118" s="24" t="s">
        <v>215</v>
      </c>
      <c r="R118" s="24" t="s">
        <v>217</v>
      </c>
      <c r="S118" s="24" t="s">
        <v>266</v>
      </c>
      <c r="T118" s="24" t="s">
        <v>136</v>
      </c>
      <c r="U118" s="24" t="s">
        <v>241</v>
      </c>
      <c r="V118" s="24" t="s">
        <v>199</v>
      </c>
      <c r="AI118" s="24" t="s">
        <v>304</v>
      </c>
      <c r="AJ118" s="24" t="s">
        <v>136</v>
      </c>
      <c r="AK118" s="24" t="s">
        <v>136</v>
      </c>
      <c r="AL118" s="24" t="s">
        <v>136</v>
      </c>
      <c r="AM118" s="24" t="s">
        <v>156</v>
      </c>
      <c r="AN118" s="24" t="s">
        <v>136</v>
      </c>
      <c r="AO118" s="24" t="s">
        <v>136</v>
      </c>
      <c r="AP118" s="24" t="s">
        <v>156</v>
      </c>
      <c r="AQ118" s="24" t="s">
        <v>156</v>
      </c>
      <c r="BU118" s="24" t="s">
        <v>346</v>
      </c>
      <c r="BV118" s="24" t="s">
        <v>136</v>
      </c>
      <c r="BW118" s="24" t="s">
        <v>1233</v>
      </c>
      <c r="BY118" s="24" t="s">
        <v>376</v>
      </c>
      <c r="BZ118" s="24" t="s">
        <v>307</v>
      </c>
      <c r="CA118" s="24" t="s">
        <v>377</v>
      </c>
      <c r="CB118" s="24" t="s">
        <v>149</v>
      </c>
      <c r="CC118" s="24" t="s">
        <v>150</v>
      </c>
      <c r="CD118" s="24" t="s">
        <v>229</v>
      </c>
      <c r="CE118" s="24" t="s">
        <v>152</v>
      </c>
      <c r="CF118" s="24" t="s">
        <v>153</v>
      </c>
      <c r="CG118" s="24">
        <v>4</v>
      </c>
      <c r="CH118" s="24" t="s">
        <v>205</v>
      </c>
      <c r="CI118" s="24" t="s">
        <v>206</v>
      </c>
      <c r="CJ118" s="24" t="s">
        <v>136</v>
      </c>
      <c r="CK118" s="24" t="s">
        <v>246</v>
      </c>
      <c r="CL118" s="24">
        <v>2</v>
      </c>
      <c r="CM118" s="24">
        <v>3</v>
      </c>
      <c r="CN118" s="24">
        <v>2</v>
      </c>
      <c r="CO118" s="24">
        <v>2</v>
      </c>
      <c r="CP118" s="24">
        <v>3</v>
      </c>
      <c r="CQ118" s="24">
        <v>2</v>
      </c>
      <c r="CR118" s="24">
        <v>3</v>
      </c>
      <c r="CS118" s="24">
        <v>4</v>
      </c>
      <c r="CT118" s="24">
        <v>3</v>
      </c>
      <c r="CU118" s="24">
        <v>3</v>
      </c>
      <c r="CV118" s="24">
        <v>3</v>
      </c>
      <c r="CW118" s="24">
        <v>3</v>
      </c>
      <c r="CX118" s="24">
        <v>3</v>
      </c>
      <c r="CY118" s="24">
        <v>3</v>
      </c>
      <c r="CZ118" s="24">
        <v>3</v>
      </c>
      <c r="DA118" s="24">
        <v>3</v>
      </c>
      <c r="DB118" s="24" t="s">
        <v>1234</v>
      </c>
      <c r="DC118" s="24">
        <v>4</v>
      </c>
      <c r="DD118" s="24" t="s">
        <v>744</v>
      </c>
      <c r="DE118" s="24" t="s">
        <v>156</v>
      </c>
      <c r="DJ118" s="24" t="s">
        <v>159</v>
      </c>
      <c r="DK118" s="24" t="s">
        <v>291</v>
      </c>
    </row>
    <row r="119" spans="1:115" ht="22.5" customHeight="1" x14ac:dyDescent="0.2">
      <c r="A119" s="23">
        <v>46065.723617430558</v>
      </c>
      <c r="B119" s="24" t="s">
        <v>1235</v>
      </c>
      <c r="C119" s="24">
        <v>0</v>
      </c>
      <c r="D119" s="24" t="s">
        <v>1236</v>
      </c>
      <c r="E119" s="24" t="s">
        <v>1237</v>
      </c>
      <c r="F119" s="24" t="s">
        <v>128</v>
      </c>
      <c r="G119" s="24">
        <v>61</v>
      </c>
      <c r="H119" s="25" t="s">
        <v>1238</v>
      </c>
      <c r="I119" s="24" t="s">
        <v>194</v>
      </c>
      <c r="J119" s="24" t="s">
        <v>301</v>
      </c>
      <c r="K119" s="24" t="s">
        <v>135</v>
      </c>
      <c r="M119" s="24" t="s">
        <v>136</v>
      </c>
      <c r="N119" s="24" t="s">
        <v>240</v>
      </c>
      <c r="O119" s="24" t="s">
        <v>551</v>
      </c>
      <c r="P119" s="24" t="s">
        <v>136</v>
      </c>
      <c r="Q119" s="24" t="s">
        <v>502</v>
      </c>
      <c r="R119" s="24" t="s">
        <v>217</v>
      </c>
      <c r="S119" s="24" t="s">
        <v>544</v>
      </c>
      <c r="T119" s="24" t="s">
        <v>136</v>
      </c>
      <c r="U119" s="24" t="s">
        <v>202</v>
      </c>
      <c r="V119" s="24" t="s">
        <v>199</v>
      </c>
      <c r="AI119" s="24" t="s">
        <v>304</v>
      </c>
      <c r="AJ119" s="24" t="s">
        <v>136</v>
      </c>
      <c r="AK119" s="24" t="s">
        <v>156</v>
      </c>
      <c r="AL119" s="24" t="s">
        <v>136</v>
      </c>
      <c r="AM119" s="24" t="s">
        <v>156</v>
      </c>
      <c r="AN119" s="24" t="s">
        <v>136</v>
      </c>
      <c r="AO119" s="24" t="s">
        <v>136</v>
      </c>
      <c r="AP119" s="24" t="s">
        <v>136</v>
      </c>
      <c r="AQ119" s="24" t="s">
        <v>136</v>
      </c>
      <c r="BU119" s="24" t="s">
        <v>346</v>
      </c>
      <c r="BV119" s="24" t="s">
        <v>156</v>
      </c>
      <c r="BX119" s="24" t="s">
        <v>1239</v>
      </c>
      <c r="BY119" s="24" t="s">
        <v>376</v>
      </c>
      <c r="BZ119" s="24" t="s">
        <v>307</v>
      </c>
      <c r="CA119" s="24" t="s">
        <v>1240</v>
      </c>
      <c r="CB119" s="24" t="s">
        <v>267</v>
      </c>
      <c r="CC119" s="24" t="s">
        <v>150</v>
      </c>
      <c r="CD119" s="24" t="s">
        <v>151</v>
      </c>
      <c r="CE119" s="24" t="s">
        <v>152</v>
      </c>
      <c r="CF119" s="24" t="s">
        <v>153</v>
      </c>
      <c r="CG119" s="24">
        <v>4</v>
      </c>
      <c r="CH119" s="24" t="s">
        <v>481</v>
      </c>
      <c r="CI119" s="24" t="s">
        <v>357</v>
      </c>
      <c r="CJ119" s="24" t="s">
        <v>136</v>
      </c>
      <c r="CK119" s="24" t="s">
        <v>537</v>
      </c>
      <c r="CL119" s="24">
        <v>1</v>
      </c>
      <c r="CM119" s="24">
        <v>1</v>
      </c>
      <c r="CN119" s="24">
        <v>4</v>
      </c>
      <c r="CO119" s="24">
        <v>4</v>
      </c>
      <c r="CP119" s="24">
        <v>1</v>
      </c>
      <c r="CQ119" s="24">
        <v>1</v>
      </c>
      <c r="CR119" s="24">
        <v>4</v>
      </c>
      <c r="CS119" s="24">
        <v>4</v>
      </c>
      <c r="CT119" s="24">
        <v>1</v>
      </c>
      <c r="CU119" s="24">
        <v>4</v>
      </c>
      <c r="CV119" s="24">
        <v>4</v>
      </c>
      <c r="CW119" s="24">
        <v>1</v>
      </c>
      <c r="CX119" s="24">
        <v>4</v>
      </c>
      <c r="CY119" s="24">
        <v>4</v>
      </c>
      <c r="CZ119" s="24">
        <v>1</v>
      </c>
      <c r="DA119" s="24">
        <v>1</v>
      </c>
      <c r="DB119" s="24" t="s">
        <v>247</v>
      </c>
      <c r="DC119" s="24">
        <v>3</v>
      </c>
      <c r="DD119" s="24" t="s">
        <v>325</v>
      </c>
      <c r="DE119" s="24" t="s">
        <v>156</v>
      </c>
      <c r="DJ119" s="24" t="s">
        <v>902</v>
      </c>
      <c r="DK119" s="24" t="s">
        <v>137</v>
      </c>
    </row>
    <row r="120" spans="1:115" ht="22.5" customHeight="1" x14ac:dyDescent="0.2">
      <c r="A120" s="23">
        <v>46065.802666886579</v>
      </c>
      <c r="B120" s="24" t="s">
        <v>1241</v>
      </c>
      <c r="C120" s="24">
        <v>0</v>
      </c>
      <c r="D120" s="24" t="s">
        <v>1242</v>
      </c>
      <c r="E120" s="24" t="s">
        <v>1243</v>
      </c>
      <c r="F120" s="24" t="s">
        <v>128</v>
      </c>
      <c r="G120" s="24">
        <v>61</v>
      </c>
      <c r="H120" s="25" t="s">
        <v>1244</v>
      </c>
      <c r="I120" s="24" t="s">
        <v>194</v>
      </c>
      <c r="J120" s="24" t="s">
        <v>344</v>
      </c>
      <c r="K120" s="24" t="s">
        <v>135</v>
      </c>
      <c r="M120" s="24" t="s">
        <v>136</v>
      </c>
      <c r="N120" s="24" t="s">
        <v>240</v>
      </c>
      <c r="O120" s="24" t="s">
        <v>199</v>
      </c>
      <c r="P120" s="24" t="s">
        <v>156</v>
      </c>
      <c r="Q120" s="24" t="s">
        <v>215</v>
      </c>
      <c r="R120" s="24" t="s">
        <v>270</v>
      </c>
      <c r="S120" s="24" t="s">
        <v>255</v>
      </c>
      <c r="T120" s="24" t="s">
        <v>136</v>
      </c>
      <c r="U120" s="24" t="s">
        <v>202</v>
      </c>
      <c r="V120" s="24" t="s">
        <v>199</v>
      </c>
      <c r="AI120" s="24" t="s">
        <v>304</v>
      </c>
      <c r="AJ120" s="24" t="s">
        <v>136</v>
      </c>
      <c r="AK120" s="24" t="s">
        <v>136</v>
      </c>
      <c r="AL120" s="24" t="s">
        <v>136</v>
      </c>
      <c r="AM120" s="24" t="s">
        <v>136</v>
      </c>
      <c r="AN120" s="24" t="s">
        <v>136</v>
      </c>
      <c r="AO120" s="24" t="s">
        <v>136</v>
      </c>
      <c r="AP120" s="24" t="s">
        <v>156</v>
      </c>
      <c r="AQ120" s="24" t="s">
        <v>156</v>
      </c>
      <c r="BU120" s="24" t="s">
        <v>167</v>
      </c>
      <c r="BV120" s="24" t="s">
        <v>136</v>
      </c>
      <c r="BW120" s="24" t="s">
        <v>1245</v>
      </c>
      <c r="BY120" s="24" t="s">
        <v>376</v>
      </c>
      <c r="BZ120" s="24" t="s">
        <v>307</v>
      </c>
      <c r="CA120" s="24" t="s">
        <v>1246</v>
      </c>
      <c r="CB120" s="24" t="s">
        <v>267</v>
      </c>
      <c r="CC120" s="24" t="s">
        <v>242</v>
      </c>
      <c r="CD120" s="24" t="s">
        <v>229</v>
      </c>
      <c r="CE120" s="24" t="s">
        <v>152</v>
      </c>
      <c r="CF120" s="24" t="s">
        <v>153</v>
      </c>
      <c r="CG120" s="24">
        <v>4</v>
      </c>
      <c r="CH120" s="24" t="s">
        <v>244</v>
      </c>
      <c r="CI120" s="24" t="s">
        <v>623</v>
      </c>
      <c r="CJ120" s="24" t="s">
        <v>136</v>
      </c>
      <c r="CK120" s="24" t="s">
        <v>512</v>
      </c>
      <c r="CL120" s="24">
        <v>2</v>
      </c>
      <c r="CM120" s="24">
        <v>2</v>
      </c>
      <c r="CN120" s="24">
        <v>2</v>
      </c>
      <c r="CO120" s="24">
        <v>4</v>
      </c>
      <c r="CP120" s="24">
        <v>3</v>
      </c>
      <c r="CQ120" s="24">
        <v>3</v>
      </c>
      <c r="CR120" s="24">
        <v>3</v>
      </c>
      <c r="CS120" s="24">
        <v>4</v>
      </c>
      <c r="CT120" s="24">
        <v>2</v>
      </c>
      <c r="CU120" s="24">
        <v>3</v>
      </c>
      <c r="CV120" s="24">
        <v>4</v>
      </c>
      <c r="CW120" s="24">
        <v>2</v>
      </c>
      <c r="CX120" s="24">
        <v>3</v>
      </c>
      <c r="CY120" s="24">
        <v>4</v>
      </c>
      <c r="CZ120" s="24">
        <v>3</v>
      </c>
      <c r="DA120" s="24">
        <v>3</v>
      </c>
      <c r="DB120" s="24" t="s">
        <v>247</v>
      </c>
      <c r="DC120" s="24">
        <v>4</v>
      </c>
      <c r="DD120" s="24" t="s">
        <v>695</v>
      </c>
      <c r="DE120" s="24" t="s">
        <v>156</v>
      </c>
      <c r="DJ120" s="24" t="s">
        <v>159</v>
      </c>
      <c r="DK120" s="24" t="s">
        <v>156</v>
      </c>
    </row>
    <row r="121" spans="1:115" ht="22.5" customHeight="1" x14ac:dyDescent="0.2">
      <c r="A121" s="23">
        <v>46067.939823796296</v>
      </c>
      <c r="B121" s="24" t="s">
        <v>1247</v>
      </c>
      <c r="C121" s="24">
        <v>0</v>
      </c>
      <c r="D121" s="24" t="s">
        <v>1248</v>
      </c>
      <c r="E121" s="24" t="s">
        <v>1249</v>
      </c>
      <c r="F121" s="24" t="s">
        <v>128</v>
      </c>
      <c r="G121" s="24">
        <v>62</v>
      </c>
      <c r="H121" s="25" t="s">
        <v>1250</v>
      </c>
      <c r="I121" s="24" t="s">
        <v>132</v>
      </c>
      <c r="J121" s="24" t="s">
        <v>133</v>
      </c>
      <c r="K121" s="24" t="s">
        <v>135</v>
      </c>
      <c r="M121" s="24" t="s">
        <v>156</v>
      </c>
      <c r="N121" s="24" t="s">
        <v>215</v>
      </c>
      <c r="O121" s="24" t="s">
        <v>216</v>
      </c>
      <c r="P121" s="24" t="s">
        <v>136</v>
      </c>
      <c r="Q121" s="24" t="s">
        <v>502</v>
      </c>
      <c r="R121" s="24" t="s">
        <v>199</v>
      </c>
      <c r="S121" s="24" t="s">
        <v>266</v>
      </c>
      <c r="T121" s="24" t="s">
        <v>136</v>
      </c>
      <c r="U121" s="24" t="s">
        <v>256</v>
      </c>
      <c r="V121" s="24" t="s">
        <v>199</v>
      </c>
      <c r="AI121" s="24" t="s">
        <v>144</v>
      </c>
      <c r="AJ121" s="24" t="s">
        <v>156</v>
      </c>
      <c r="AK121" s="24" t="s">
        <v>136</v>
      </c>
      <c r="AL121" s="24" t="s">
        <v>136</v>
      </c>
      <c r="AM121" s="24" t="s">
        <v>156</v>
      </c>
      <c r="AN121" s="24" t="s">
        <v>136</v>
      </c>
      <c r="AO121" s="24" t="s">
        <v>136</v>
      </c>
      <c r="AP121" s="24" t="s">
        <v>136</v>
      </c>
      <c r="AQ121" s="24" t="s">
        <v>156</v>
      </c>
      <c r="BN121" s="24" t="s">
        <v>167</v>
      </c>
      <c r="BO121" s="24" t="s">
        <v>156</v>
      </c>
      <c r="BQ121" s="24" t="s">
        <v>1251</v>
      </c>
      <c r="BR121" s="24" t="s">
        <v>226</v>
      </c>
      <c r="BS121" s="24" t="s">
        <v>169</v>
      </c>
      <c r="BT121" s="24" t="s">
        <v>227</v>
      </c>
      <c r="CB121" s="24" t="s">
        <v>267</v>
      </c>
      <c r="CC121" s="24" t="s">
        <v>150</v>
      </c>
      <c r="CD121" s="24" t="s">
        <v>229</v>
      </c>
      <c r="CE121" s="24" t="s">
        <v>204</v>
      </c>
      <c r="CF121" s="24" t="s">
        <v>243</v>
      </c>
      <c r="CG121" s="24">
        <v>4</v>
      </c>
      <c r="CH121" s="24" t="s">
        <v>172</v>
      </c>
      <c r="CI121" s="24" t="s">
        <v>392</v>
      </c>
      <c r="CJ121" s="24" t="s">
        <v>156</v>
      </c>
      <c r="CK121" s="24" t="s">
        <v>231</v>
      </c>
      <c r="CL121" s="24">
        <v>2</v>
      </c>
      <c r="CM121" s="24">
        <v>2</v>
      </c>
      <c r="CN121" s="24">
        <v>3</v>
      </c>
      <c r="CO121" s="24">
        <v>3</v>
      </c>
      <c r="CP121" s="24">
        <v>2</v>
      </c>
      <c r="CQ121" s="24">
        <v>2</v>
      </c>
      <c r="CR121" s="24">
        <v>4</v>
      </c>
      <c r="CS121" s="24">
        <v>4</v>
      </c>
      <c r="CT121" s="24">
        <v>2</v>
      </c>
      <c r="CU121" s="24">
        <v>4</v>
      </c>
      <c r="CV121" s="24">
        <v>4</v>
      </c>
      <c r="CW121" s="24">
        <v>2</v>
      </c>
      <c r="CX121" s="24">
        <v>4</v>
      </c>
      <c r="CY121" s="24">
        <v>4</v>
      </c>
      <c r="CZ121" s="24">
        <v>2</v>
      </c>
      <c r="DA121" s="24">
        <v>2</v>
      </c>
      <c r="DB121" s="24" t="s">
        <v>295</v>
      </c>
      <c r="DC121" s="24">
        <v>4</v>
      </c>
      <c r="DD121" s="24" t="s">
        <v>281</v>
      </c>
      <c r="DE121" s="24" t="s">
        <v>156</v>
      </c>
      <c r="DJ121" s="24" t="s">
        <v>159</v>
      </c>
      <c r="DK121" s="24" t="s">
        <v>1252</v>
      </c>
    </row>
    <row r="122" spans="1:115" ht="22.5" customHeight="1" x14ac:dyDescent="0.2">
      <c r="A122" s="23">
        <v>46067.950203020839</v>
      </c>
      <c r="B122" s="24" t="s">
        <v>1253</v>
      </c>
      <c r="C122" s="24">
        <v>0</v>
      </c>
      <c r="D122" s="24" t="s">
        <v>1254</v>
      </c>
      <c r="E122" s="24" t="s">
        <v>1255</v>
      </c>
      <c r="F122" s="24" t="s">
        <v>128</v>
      </c>
      <c r="G122" s="24">
        <v>62</v>
      </c>
      <c r="H122" s="25" t="s">
        <v>1256</v>
      </c>
      <c r="I122" s="24" t="s">
        <v>132</v>
      </c>
      <c r="J122" s="24" t="s">
        <v>133</v>
      </c>
      <c r="K122" s="24" t="s">
        <v>135</v>
      </c>
      <c r="M122" s="24" t="s">
        <v>136</v>
      </c>
      <c r="N122" s="24" t="s">
        <v>425</v>
      </c>
      <c r="O122" s="24" t="s">
        <v>199</v>
      </c>
      <c r="P122" s="24" t="s">
        <v>156</v>
      </c>
      <c r="Q122" s="24" t="s">
        <v>215</v>
      </c>
      <c r="R122" s="24" t="s">
        <v>217</v>
      </c>
      <c r="S122" s="24" t="s">
        <v>218</v>
      </c>
      <c r="T122" s="24" t="s">
        <v>136</v>
      </c>
      <c r="U122" s="24" t="s">
        <v>241</v>
      </c>
      <c r="V122" s="24" t="s">
        <v>199</v>
      </c>
      <c r="AI122" s="24" t="s">
        <v>219</v>
      </c>
      <c r="AJ122" s="24" t="s">
        <v>156</v>
      </c>
      <c r="AK122" s="24" t="s">
        <v>156</v>
      </c>
      <c r="AL122" s="24" t="s">
        <v>156</v>
      </c>
      <c r="AM122" s="24" t="s">
        <v>156</v>
      </c>
      <c r="AN122" s="24" t="s">
        <v>156</v>
      </c>
      <c r="AO122" s="24" t="s">
        <v>156</v>
      </c>
      <c r="AP122" s="24" t="s">
        <v>156</v>
      </c>
      <c r="AQ122" s="24" t="s">
        <v>136</v>
      </c>
      <c r="BF122" s="24" t="s">
        <v>305</v>
      </c>
      <c r="BG122" s="24" t="s">
        <v>156</v>
      </c>
      <c r="BI122" s="24" t="s">
        <v>1257</v>
      </c>
      <c r="BJ122" s="24" t="s">
        <v>156</v>
      </c>
      <c r="BK122" s="24" t="s">
        <v>1110</v>
      </c>
      <c r="BL122" s="24" t="s">
        <v>222</v>
      </c>
      <c r="BM122" s="24" t="s">
        <v>223</v>
      </c>
      <c r="BN122" s="24" t="s">
        <v>771</v>
      </c>
      <c r="BO122" s="24" t="s">
        <v>156</v>
      </c>
      <c r="BR122" s="24" t="s">
        <v>327</v>
      </c>
      <c r="BS122" s="24" t="s">
        <v>771</v>
      </c>
      <c r="BT122" s="24" t="s">
        <v>771</v>
      </c>
      <c r="CB122" s="24" t="s">
        <v>267</v>
      </c>
      <c r="CC122" s="24" t="s">
        <v>150</v>
      </c>
      <c r="CD122" s="24" t="s">
        <v>229</v>
      </c>
      <c r="CE122" s="24" t="s">
        <v>204</v>
      </c>
      <c r="CF122" s="24" t="s">
        <v>153</v>
      </c>
      <c r="CG122" s="24">
        <v>4</v>
      </c>
      <c r="CH122" s="24" t="s">
        <v>244</v>
      </c>
      <c r="CI122" s="24" t="s">
        <v>287</v>
      </c>
      <c r="CJ122" s="24" t="s">
        <v>136</v>
      </c>
      <c r="CK122" s="24" t="s">
        <v>279</v>
      </c>
      <c r="CL122" s="24">
        <v>3</v>
      </c>
      <c r="CM122" s="24">
        <v>3</v>
      </c>
      <c r="CN122" s="24">
        <v>4</v>
      </c>
      <c r="CO122" s="24">
        <v>4</v>
      </c>
      <c r="CP122" s="24">
        <v>4</v>
      </c>
      <c r="CQ122" s="24">
        <v>3</v>
      </c>
      <c r="CR122" s="24">
        <v>4</v>
      </c>
      <c r="CS122" s="24">
        <v>4</v>
      </c>
      <c r="CT122" s="24">
        <v>4</v>
      </c>
      <c r="CU122" s="24">
        <v>4</v>
      </c>
      <c r="CV122" s="24">
        <v>4</v>
      </c>
      <c r="CW122" s="24">
        <v>4</v>
      </c>
      <c r="CX122" s="24">
        <v>4</v>
      </c>
      <c r="CY122" s="24">
        <v>4</v>
      </c>
      <c r="CZ122" s="24">
        <v>4</v>
      </c>
      <c r="DA122" s="24">
        <v>4</v>
      </c>
      <c r="DB122" s="24" t="s">
        <v>1258</v>
      </c>
      <c r="DC122" s="24">
        <v>4</v>
      </c>
      <c r="DD122" s="24" t="s">
        <v>924</v>
      </c>
      <c r="DE122" s="24" t="s">
        <v>156</v>
      </c>
      <c r="DJ122" s="24" t="s">
        <v>1259</v>
      </c>
      <c r="DK122" s="24" t="s">
        <v>1260</v>
      </c>
    </row>
    <row r="123" spans="1:115" ht="22.5" customHeight="1" x14ac:dyDescent="0.2">
      <c r="A123" s="23">
        <v>46068.669793657406</v>
      </c>
      <c r="B123" s="24" t="s">
        <v>1261</v>
      </c>
      <c r="C123" s="24">
        <v>0</v>
      </c>
      <c r="D123" s="24" t="s">
        <v>1262</v>
      </c>
      <c r="E123" s="24" t="s">
        <v>1263</v>
      </c>
      <c r="F123" s="24" t="s">
        <v>163</v>
      </c>
      <c r="G123" s="24">
        <v>62</v>
      </c>
      <c r="H123" s="25" t="s">
        <v>1264</v>
      </c>
      <c r="I123" s="24" t="s">
        <v>194</v>
      </c>
      <c r="J123" s="24" t="s">
        <v>344</v>
      </c>
      <c r="K123" s="24" t="s">
        <v>135</v>
      </c>
      <c r="M123" s="24" t="s">
        <v>156</v>
      </c>
      <c r="N123" s="24" t="s">
        <v>215</v>
      </c>
      <c r="O123" s="24" t="s">
        <v>216</v>
      </c>
      <c r="P123" s="24" t="s">
        <v>136</v>
      </c>
      <c r="Q123" s="24" t="s">
        <v>303</v>
      </c>
      <c r="R123" s="24" t="s">
        <v>199</v>
      </c>
      <c r="S123" s="24" t="s">
        <v>218</v>
      </c>
      <c r="T123" s="24" t="s">
        <v>136</v>
      </c>
      <c r="U123" s="24" t="s">
        <v>356</v>
      </c>
      <c r="V123" s="24" t="s">
        <v>199</v>
      </c>
      <c r="AI123" s="24" t="s">
        <v>144</v>
      </c>
      <c r="AJ123" s="24" t="s">
        <v>136</v>
      </c>
      <c r="AK123" s="24" t="s">
        <v>136</v>
      </c>
      <c r="AL123" s="24" t="s">
        <v>156</v>
      </c>
      <c r="AM123" s="24" t="s">
        <v>136</v>
      </c>
      <c r="AN123" s="24" t="s">
        <v>156</v>
      </c>
      <c r="AO123" s="24" t="s">
        <v>156</v>
      </c>
      <c r="AP123" s="24" t="s">
        <v>136</v>
      </c>
      <c r="AQ123" s="24" t="s">
        <v>156</v>
      </c>
      <c r="BN123" s="24" t="s">
        <v>167</v>
      </c>
      <c r="BO123" s="24" t="s">
        <v>136</v>
      </c>
      <c r="BQ123" s="24" t="s">
        <v>1265</v>
      </c>
      <c r="BR123" s="24" t="s">
        <v>146</v>
      </c>
      <c r="BS123" s="24" t="s">
        <v>169</v>
      </c>
      <c r="BT123" s="24" t="s">
        <v>148</v>
      </c>
      <c r="CB123" s="24" t="s">
        <v>149</v>
      </c>
      <c r="CC123" s="24" t="s">
        <v>150</v>
      </c>
      <c r="CD123" s="24" t="s">
        <v>151</v>
      </c>
      <c r="CE123" s="24" t="s">
        <v>152</v>
      </c>
      <c r="CF123" s="24" t="s">
        <v>243</v>
      </c>
      <c r="CG123" s="24">
        <v>4</v>
      </c>
      <c r="CH123" s="24" t="s">
        <v>481</v>
      </c>
      <c r="CI123" s="24" t="s">
        <v>324</v>
      </c>
      <c r="CJ123" s="24" t="s">
        <v>156</v>
      </c>
      <c r="CK123" s="24" t="s">
        <v>231</v>
      </c>
      <c r="CL123" s="24">
        <v>2</v>
      </c>
      <c r="CM123" s="24">
        <v>3</v>
      </c>
      <c r="CN123" s="24">
        <v>2</v>
      </c>
      <c r="CO123" s="24">
        <v>2</v>
      </c>
      <c r="CP123" s="24">
        <v>3</v>
      </c>
      <c r="CQ123" s="24">
        <v>2</v>
      </c>
      <c r="CR123" s="24">
        <v>3</v>
      </c>
      <c r="CS123" s="24">
        <v>2</v>
      </c>
      <c r="CT123" s="24">
        <v>2</v>
      </c>
      <c r="CU123" s="24">
        <v>3</v>
      </c>
      <c r="CV123" s="24">
        <v>2</v>
      </c>
      <c r="CW123" s="24">
        <v>2</v>
      </c>
      <c r="CX123" s="24">
        <v>2</v>
      </c>
      <c r="CY123" s="24">
        <v>2</v>
      </c>
      <c r="CZ123" s="24">
        <v>2</v>
      </c>
      <c r="DA123" s="24">
        <v>3</v>
      </c>
      <c r="DB123" s="24" t="s">
        <v>1266</v>
      </c>
      <c r="DC123" s="24">
        <v>3</v>
      </c>
      <c r="DD123" s="24" t="s">
        <v>367</v>
      </c>
      <c r="DE123" s="24" t="s">
        <v>156</v>
      </c>
      <c r="DJ123" s="24" t="s">
        <v>210</v>
      </c>
      <c r="DK123" s="24" t="s">
        <v>1267</v>
      </c>
    </row>
    <row r="124" spans="1:115" ht="22.5" customHeight="1" x14ac:dyDescent="0.2">
      <c r="A124" s="23">
        <v>46068.889391481483</v>
      </c>
      <c r="B124" s="24" t="s">
        <v>1268</v>
      </c>
      <c r="C124" s="24">
        <v>0</v>
      </c>
      <c r="D124" s="24" t="s">
        <v>1269</v>
      </c>
      <c r="E124" s="24" t="s">
        <v>1270</v>
      </c>
      <c r="F124" s="24" t="s">
        <v>128</v>
      </c>
      <c r="G124" s="24">
        <v>62</v>
      </c>
      <c r="H124" s="25" t="s">
        <v>1271</v>
      </c>
      <c r="I124" s="24" t="s">
        <v>194</v>
      </c>
      <c r="J124" s="24" t="s">
        <v>133</v>
      </c>
      <c r="K124" s="24" t="s">
        <v>135</v>
      </c>
      <c r="M124" s="24" t="s">
        <v>136</v>
      </c>
      <c r="N124" s="24" t="s">
        <v>264</v>
      </c>
      <c r="O124" s="24" t="s">
        <v>199</v>
      </c>
      <c r="P124" s="24" t="s">
        <v>136</v>
      </c>
      <c r="Q124" s="24" t="s">
        <v>303</v>
      </c>
      <c r="R124" s="24" t="s">
        <v>199</v>
      </c>
      <c r="S124" s="24" t="s">
        <v>544</v>
      </c>
      <c r="T124" s="24" t="s">
        <v>136</v>
      </c>
      <c r="U124" s="24" t="s">
        <v>241</v>
      </c>
      <c r="V124" s="24" t="s">
        <v>199</v>
      </c>
      <c r="AI124" s="24" t="s">
        <v>219</v>
      </c>
      <c r="AJ124" s="24" t="s">
        <v>156</v>
      </c>
      <c r="AK124" s="24" t="s">
        <v>136</v>
      </c>
      <c r="AL124" s="24" t="s">
        <v>156</v>
      </c>
      <c r="AM124" s="24" t="s">
        <v>156</v>
      </c>
      <c r="AN124" s="24" t="s">
        <v>156</v>
      </c>
      <c r="AO124" s="24" t="s">
        <v>156</v>
      </c>
      <c r="AP124" s="24" t="s">
        <v>156</v>
      </c>
      <c r="AQ124" s="24" t="s">
        <v>156</v>
      </c>
      <c r="BF124" s="24" t="s">
        <v>167</v>
      </c>
      <c r="BG124" s="24" t="s">
        <v>156</v>
      </c>
      <c r="BH124" s="24" t="s">
        <v>137</v>
      </c>
      <c r="BI124" s="24" t="s">
        <v>1272</v>
      </c>
      <c r="BJ124" s="24" t="s">
        <v>156</v>
      </c>
      <c r="BK124" s="24" t="s">
        <v>396</v>
      </c>
      <c r="BL124" s="24" t="s">
        <v>509</v>
      </c>
      <c r="BM124" s="24" t="s">
        <v>223</v>
      </c>
      <c r="BN124" s="24" t="s">
        <v>167</v>
      </c>
      <c r="BO124" s="24" t="s">
        <v>136</v>
      </c>
      <c r="BP124" s="24" t="s">
        <v>1273</v>
      </c>
      <c r="BQ124" s="24" t="s">
        <v>137</v>
      </c>
      <c r="BR124" s="24" t="s">
        <v>226</v>
      </c>
      <c r="BS124" s="24" t="s">
        <v>169</v>
      </c>
      <c r="BT124" s="24" t="s">
        <v>227</v>
      </c>
      <c r="CB124" s="24" t="s">
        <v>267</v>
      </c>
      <c r="CC124" s="24" t="s">
        <v>242</v>
      </c>
      <c r="CD124" s="24" t="s">
        <v>229</v>
      </c>
      <c r="CE124" s="24" t="s">
        <v>152</v>
      </c>
      <c r="CF124" s="24" t="s">
        <v>153</v>
      </c>
      <c r="CG124" s="24">
        <v>4</v>
      </c>
      <c r="CH124" s="24" t="s">
        <v>154</v>
      </c>
      <c r="CI124" s="24" t="s">
        <v>155</v>
      </c>
      <c r="CJ124" s="24" t="s">
        <v>156</v>
      </c>
      <c r="CK124" s="24" t="s">
        <v>207</v>
      </c>
      <c r="CL124" s="24">
        <v>1</v>
      </c>
      <c r="CM124" s="24">
        <v>1</v>
      </c>
      <c r="CN124" s="24">
        <v>3</v>
      </c>
      <c r="CO124" s="24">
        <v>3</v>
      </c>
      <c r="CP124" s="24">
        <v>1</v>
      </c>
      <c r="CQ124" s="24">
        <v>1</v>
      </c>
      <c r="CR124" s="24">
        <v>3</v>
      </c>
      <c r="CS124" s="24">
        <v>3</v>
      </c>
      <c r="CT124" s="24">
        <v>1</v>
      </c>
      <c r="CU124" s="24">
        <v>3</v>
      </c>
      <c r="CV124" s="24">
        <v>3</v>
      </c>
      <c r="CW124" s="24">
        <v>1</v>
      </c>
      <c r="CX124" s="24">
        <v>3</v>
      </c>
      <c r="CY124" s="24">
        <v>3</v>
      </c>
      <c r="CZ124" s="24">
        <v>1</v>
      </c>
      <c r="DA124" s="24">
        <v>1</v>
      </c>
      <c r="DB124" s="24" t="s">
        <v>383</v>
      </c>
      <c r="DC124" s="24">
        <v>3</v>
      </c>
      <c r="DD124" s="24" t="s">
        <v>1274</v>
      </c>
      <c r="DE124" s="24" t="s">
        <v>156</v>
      </c>
      <c r="DJ124" s="24" t="s">
        <v>210</v>
      </c>
      <c r="DK124" s="24" t="s">
        <v>137</v>
      </c>
    </row>
    <row r="125" spans="1:115" ht="22.5" customHeight="1" x14ac:dyDescent="0.2">
      <c r="A125" s="23">
        <v>46069.061458379627</v>
      </c>
      <c r="B125" s="24" t="s">
        <v>1275</v>
      </c>
      <c r="C125" s="24">
        <v>0</v>
      </c>
      <c r="D125" s="24" t="s">
        <v>1276</v>
      </c>
      <c r="E125" s="24" t="s">
        <v>1277</v>
      </c>
      <c r="F125" s="24" t="s">
        <v>128</v>
      </c>
      <c r="G125" s="24">
        <v>60</v>
      </c>
      <c r="H125" s="25" t="s">
        <v>1278</v>
      </c>
      <c r="I125" s="24" t="s">
        <v>194</v>
      </c>
      <c r="J125" s="24" t="s">
        <v>133</v>
      </c>
      <c r="K125" s="24" t="s">
        <v>135</v>
      </c>
      <c r="M125" s="24" t="s">
        <v>136</v>
      </c>
      <c r="N125" s="24" t="s">
        <v>240</v>
      </c>
      <c r="O125" s="24" t="s">
        <v>199</v>
      </c>
      <c r="P125" s="24" t="s">
        <v>136</v>
      </c>
      <c r="Q125" s="24" t="s">
        <v>303</v>
      </c>
      <c r="R125" s="24" t="s">
        <v>199</v>
      </c>
      <c r="S125" s="24" t="s">
        <v>255</v>
      </c>
      <c r="T125" s="24" t="s">
        <v>136</v>
      </c>
      <c r="U125" s="24" t="s">
        <v>256</v>
      </c>
      <c r="V125" s="24" t="s">
        <v>199</v>
      </c>
      <c r="AI125" s="24" t="s">
        <v>304</v>
      </c>
      <c r="AJ125" s="24" t="s">
        <v>136</v>
      </c>
      <c r="AK125" s="24" t="s">
        <v>136</v>
      </c>
      <c r="AL125" s="24" t="s">
        <v>136</v>
      </c>
      <c r="AM125" s="24" t="s">
        <v>136</v>
      </c>
      <c r="AN125" s="24" t="s">
        <v>136</v>
      </c>
      <c r="AO125" s="24" t="s">
        <v>136</v>
      </c>
      <c r="AP125" s="24" t="s">
        <v>136</v>
      </c>
      <c r="AQ125" s="24" t="s">
        <v>136</v>
      </c>
      <c r="BU125" s="24" t="s">
        <v>167</v>
      </c>
      <c r="BV125" s="24" t="s">
        <v>136</v>
      </c>
      <c r="BW125" s="24" t="s">
        <v>1279</v>
      </c>
      <c r="BY125" s="24" t="s">
        <v>336</v>
      </c>
      <c r="BZ125" s="24" t="s">
        <v>337</v>
      </c>
      <c r="CA125" s="24" t="s">
        <v>308</v>
      </c>
      <c r="CB125" s="24" t="s">
        <v>149</v>
      </c>
      <c r="CC125" s="24" t="s">
        <v>150</v>
      </c>
      <c r="CD125" s="24" t="s">
        <v>229</v>
      </c>
      <c r="CE125" s="24" t="s">
        <v>152</v>
      </c>
      <c r="CF125" s="24" t="s">
        <v>243</v>
      </c>
      <c r="CG125" s="24">
        <v>4</v>
      </c>
      <c r="CH125" s="24" t="s">
        <v>244</v>
      </c>
      <c r="CI125" s="24" t="s">
        <v>352</v>
      </c>
      <c r="CJ125" s="24" t="s">
        <v>136</v>
      </c>
      <c r="CK125" s="24" t="s">
        <v>279</v>
      </c>
      <c r="CL125" s="24">
        <v>3</v>
      </c>
      <c r="CM125" s="24">
        <v>3</v>
      </c>
      <c r="CN125" s="24">
        <v>4</v>
      </c>
      <c r="CO125" s="24">
        <v>3</v>
      </c>
      <c r="CP125" s="24">
        <v>4</v>
      </c>
      <c r="CQ125" s="24">
        <v>3</v>
      </c>
      <c r="CR125" s="24">
        <v>3</v>
      </c>
      <c r="CS125" s="24">
        <v>3</v>
      </c>
      <c r="CT125" s="24">
        <v>3</v>
      </c>
      <c r="CU125" s="24">
        <v>3</v>
      </c>
      <c r="CV125" s="24">
        <v>3</v>
      </c>
      <c r="CW125" s="24">
        <v>3</v>
      </c>
      <c r="CX125" s="24">
        <v>3</v>
      </c>
      <c r="CY125" s="24">
        <v>3</v>
      </c>
      <c r="CZ125" s="24">
        <v>3</v>
      </c>
      <c r="DA125" s="24">
        <v>2</v>
      </c>
      <c r="DB125" s="24" t="s">
        <v>247</v>
      </c>
      <c r="DC125" s="24">
        <v>4</v>
      </c>
      <c r="DD125" s="24" t="s">
        <v>268</v>
      </c>
      <c r="DE125" s="24" t="s">
        <v>136</v>
      </c>
      <c r="DF125" s="24">
        <v>3</v>
      </c>
      <c r="DG125" s="24">
        <v>3</v>
      </c>
      <c r="DH125" s="24">
        <v>3</v>
      </c>
      <c r="DI125" s="24" t="s">
        <v>354</v>
      </c>
      <c r="DJ125" s="24" t="s">
        <v>188</v>
      </c>
      <c r="DK125" s="24" t="s">
        <v>137</v>
      </c>
    </row>
    <row r="126" spans="1:115" ht="22.5" customHeight="1" x14ac:dyDescent="0.2">
      <c r="A126" s="23">
        <v>46069.46549913194</v>
      </c>
      <c r="B126" s="24" t="s">
        <v>1280</v>
      </c>
      <c r="C126" s="24">
        <v>0</v>
      </c>
      <c r="D126" s="24" t="s">
        <v>1281</v>
      </c>
      <c r="E126" s="24" t="s">
        <v>1282</v>
      </c>
      <c r="F126" s="24" t="s">
        <v>163</v>
      </c>
      <c r="G126" s="24">
        <v>62</v>
      </c>
      <c r="H126" s="25" t="s">
        <v>1283</v>
      </c>
      <c r="I126" s="24" t="s">
        <v>132</v>
      </c>
      <c r="J126" s="24" t="s">
        <v>301</v>
      </c>
      <c r="K126" s="24" t="s">
        <v>135</v>
      </c>
      <c r="M126" s="24" t="s">
        <v>156</v>
      </c>
      <c r="N126" s="24" t="s">
        <v>215</v>
      </c>
      <c r="O126" s="24" t="s">
        <v>360</v>
      </c>
      <c r="P126" s="24" t="s">
        <v>136</v>
      </c>
      <c r="Q126" s="24" t="s">
        <v>502</v>
      </c>
      <c r="R126" s="24" t="s">
        <v>199</v>
      </c>
      <c r="S126" s="24" t="s">
        <v>277</v>
      </c>
      <c r="T126" s="24" t="s">
        <v>136</v>
      </c>
      <c r="U126" s="24" t="s">
        <v>202</v>
      </c>
      <c r="V126" s="24" t="s">
        <v>199</v>
      </c>
      <c r="AI126" s="24" t="s">
        <v>144</v>
      </c>
      <c r="AJ126" s="24" t="s">
        <v>136</v>
      </c>
      <c r="AK126" s="24" t="s">
        <v>136</v>
      </c>
      <c r="AL126" s="24" t="s">
        <v>156</v>
      </c>
      <c r="AM126" s="24" t="s">
        <v>136</v>
      </c>
      <c r="AN126" s="24" t="s">
        <v>156</v>
      </c>
      <c r="AO126" s="24" t="s">
        <v>156</v>
      </c>
      <c r="AP126" s="24" t="s">
        <v>136</v>
      </c>
      <c r="AQ126" s="24" t="s">
        <v>156</v>
      </c>
      <c r="BN126" s="24" t="s">
        <v>305</v>
      </c>
      <c r="BO126" s="24" t="s">
        <v>156</v>
      </c>
      <c r="BQ126" s="24" t="s">
        <v>1284</v>
      </c>
      <c r="BR126" s="24" t="s">
        <v>168</v>
      </c>
      <c r="BS126" s="24" t="s">
        <v>169</v>
      </c>
      <c r="BT126" s="24" t="s">
        <v>340</v>
      </c>
      <c r="CB126" s="24" t="s">
        <v>149</v>
      </c>
      <c r="CC126" s="24" t="s">
        <v>242</v>
      </c>
      <c r="CD126" s="24" t="s">
        <v>229</v>
      </c>
      <c r="CE126" s="24" t="s">
        <v>152</v>
      </c>
      <c r="CF126" s="24" t="s">
        <v>243</v>
      </c>
      <c r="CG126" s="24">
        <v>4</v>
      </c>
      <c r="CH126" s="24" t="s">
        <v>323</v>
      </c>
      <c r="CI126" s="24" t="s">
        <v>259</v>
      </c>
      <c r="CJ126" s="24" t="s">
        <v>136</v>
      </c>
      <c r="CK126" s="24" t="s">
        <v>512</v>
      </c>
      <c r="CL126" s="24">
        <v>3</v>
      </c>
      <c r="CM126" s="24">
        <v>2</v>
      </c>
      <c r="CN126" s="24">
        <v>2</v>
      </c>
      <c r="CO126" s="24">
        <v>4</v>
      </c>
      <c r="CP126" s="24">
        <v>2</v>
      </c>
      <c r="CQ126" s="24">
        <v>2</v>
      </c>
      <c r="CR126" s="24">
        <v>3</v>
      </c>
      <c r="CS126" s="24">
        <v>2</v>
      </c>
      <c r="CT126" s="24">
        <v>2</v>
      </c>
      <c r="CU126" s="24">
        <v>3</v>
      </c>
      <c r="CV126" s="24">
        <v>2</v>
      </c>
      <c r="CW126" s="24">
        <v>2</v>
      </c>
      <c r="CX126" s="24">
        <v>2</v>
      </c>
      <c r="CY126" s="24">
        <v>3</v>
      </c>
      <c r="CZ126" s="24">
        <v>1</v>
      </c>
      <c r="DA126" s="24">
        <v>1</v>
      </c>
      <c r="DB126" s="24" t="s">
        <v>310</v>
      </c>
      <c r="DC126" s="24">
        <v>2</v>
      </c>
      <c r="DD126" s="24" t="s">
        <v>209</v>
      </c>
      <c r="DE126" s="24" t="s">
        <v>136</v>
      </c>
      <c r="DF126" s="24">
        <v>3</v>
      </c>
      <c r="DG126" s="24">
        <v>3</v>
      </c>
      <c r="DH126" s="24">
        <v>2</v>
      </c>
      <c r="DI126" s="24" t="s">
        <v>1285</v>
      </c>
      <c r="DJ126" s="24" t="s">
        <v>159</v>
      </c>
      <c r="DK126" s="24" t="s">
        <v>137</v>
      </c>
    </row>
    <row r="127" spans="1:115" ht="22.5" customHeight="1" x14ac:dyDescent="0.2">
      <c r="A127" s="23">
        <v>46069.536619375001</v>
      </c>
      <c r="B127" s="24" t="s">
        <v>1286</v>
      </c>
      <c r="C127" s="24">
        <v>0</v>
      </c>
      <c r="D127" s="24" t="s">
        <v>1287</v>
      </c>
      <c r="E127" s="24" t="s">
        <v>1288</v>
      </c>
      <c r="F127" s="24" t="s">
        <v>128</v>
      </c>
      <c r="G127" s="24">
        <v>61</v>
      </c>
      <c r="H127" s="25" t="s">
        <v>1289</v>
      </c>
      <c r="I127" s="24" t="s">
        <v>194</v>
      </c>
      <c r="J127" s="24" t="s">
        <v>301</v>
      </c>
      <c r="K127" s="24" t="s">
        <v>302</v>
      </c>
      <c r="M127" s="24" t="s">
        <v>136</v>
      </c>
      <c r="N127" s="24" t="s">
        <v>240</v>
      </c>
      <c r="O127" s="24" t="s">
        <v>199</v>
      </c>
      <c r="P127" s="24" t="s">
        <v>156</v>
      </c>
      <c r="Q127" s="24" t="s">
        <v>215</v>
      </c>
      <c r="R127" s="24" t="s">
        <v>270</v>
      </c>
      <c r="S127" s="24" t="s">
        <v>266</v>
      </c>
      <c r="T127" s="24" t="s">
        <v>136</v>
      </c>
      <c r="U127" s="24" t="s">
        <v>241</v>
      </c>
      <c r="V127" s="24" t="s">
        <v>199</v>
      </c>
      <c r="AI127" s="24" t="s">
        <v>304</v>
      </c>
      <c r="AJ127" s="24" t="s">
        <v>136</v>
      </c>
      <c r="AK127" s="24" t="s">
        <v>156</v>
      </c>
      <c r="AL127" s="24" t="s">
        <v>136</v>
      </c>
      <c r="AM127" s="24" t="s">
        <v>156</v>
      </c>
      <c r="AN127" s="24" t="s">
        <v>136</v>
      </c>
      <c r="AO127" s="24" t="s">
        <v>136</v>
      </c>
      <c r="AP127" s="24" t="s">
        <v>136</v>
      </c>
      <c r="AQ127" s="24" t="s">
        <v>136</v>
      </c>
      <c r="BU127" s="24" t="s">
        <v>167</v>
      </c>
      <c r="BV127" s="24" t="s">
        <v>136</v>
      </c>
      <c r="BW127" s="24" t="s">
        <v>1290</v>
      </c>
      <c r="BY127" s="24" t="s">
        <v>306</v>
      </c>
      <c r="BZ127" s="24" t="s">
        <v>307</v>
      </c>
      <c r="CA127" s="24" t="s">
        <v>439</v>
      </c>
      <c r="CB127" s="24" t="s">
        <v>267</v>
      </c>
      <c r="CC127" s="24" t="s">
        <v>150</v>
      </c>
      <c r="CD127" s="24" t="s">
        <v>151</v>
      </c>
      <c r="CE127" s="24" t="s">
        <v>204</v>
      </c>
      <c r="CF127" s="24" t="s">
        <v>153</v>
      </c>
      <c r="CG127" s="24">
        <v>3</v>
      </c>
      <c r="CH127" s="24" t="s">
        <v>154</v>
      </c>
      <c r="CI127" s="24" t="s">
        <v>155</v>
      </c>
      <c r="CJ127" s="24" t="s">
        <v>136</v>
      </c>
      <c r="CK127" s="24" t="s">
        <v>512</v>
      </c>
      <c r="CL127" s="24">
        <v>3</v>
      </c>
      <c r="CM127" s="24">
        <v>3</v>
      </c>
      <c r="CN127" s="24">
        <v>3</v>
      </c>
      <c r="CO127" s="24">
        <v>3</v>
      </c>
      <c r="CP127" s="24">
        <v>4</v>
      </c>
      <c r="CQ127" s="24">
        <v>3</v>
      </c>
      <c r="CR127" s="24">
        <v>3</v>
      </c>
      <c r="CS127" s="24">
        <v>3</v>
      </c>
      <c r="CT127" s="24">
        <v>3</v>
      </c>
      <c r="CU127" s="24">
        <v>3</v>
      </c>
      <c r="CV127" s="24">
        <v>3</v>
      </c>
      <c r="CW127" s="24">
        <v>3</v>
      </c>
      <c r="CX127" s="24">
        <v>3</v>
      </c>
      <c r="CY127" s="24">
        <v>3</v>
      </c>
      <c r="CZ127" s="24">
        <v>3</v>
      </c>
      <c r="DA127" s="24">
        <v>3</v>
      </c>
      <c r="DB127" s="24" t="s">
        <v>379</v>
      </c>
      <c r="DC127" s="24">
        <v>3</v>
      </c>
      <c r="DD127" s="24" t="s">
        <v>325</v>
      </c>
      <c r="DE127" s="24" t="s">
        <v>136</v>
      </c>
      <c r="DF127" s="24">
        <v>3</v>
      </c>
      <c r="DG127" s="24">
        <v>3</v>
      </c>
      <c r="DH127" s="24">
        <v>3</v>
      </c>
      <c r="DI127" s="24" t="s">
        <v>1291</v>
      </c>
      <c r="DJ127" s="24" t="s">
        <v>603</v>
      </c>
      <c r="DK127" s="24" t="s">
        <v>137</v>
      </c>
    </row>
    <row r="128" spans="1:115" ht="22.5" customHeight="1" x14ac:dyDescent="0.2">
      <c r="A128" s="23">
        <v>46069.545597129632</v>
      </c>
      <c r="B128" s="24" t="s">
        <v>1292</v>
      </c>
      <c r="C128" s="24">
        <v>0</v>
      </c>
      <c r="D128" s="24" t="s">
        <v>1293</v>
      </c>
      <c r="E128" s="24" t="s">
        <v>1294</v>
      </c>
      <c r="F128" s="24" t="s">
        <v>163</v>
      </c>
      <c r="G128" s="24">
        <v>61</v>
      </c>
      <c r="H128" s="25" t="s">
        <v>1295</v>
      </c>
      <c r="I128" s="24" t="s">
        <v>194</v>
      </c>
      <c r="J128" s="24" t="s">
        <v>301</v>
      </c>
      <c r="K128" s="24" t="s">
        <v>302</v>
      </c>
      <c r="M128" s="24" t="s">
        <v>136</v>
      </c>
      <c r="N128" s="24" t="s">
        <v>240</v>
      </c>
      <c r="O128" s="24" t="s">
        <v>199</v>
      </c>
      <c r="P128" s="24" t="s">
        <v>156</v>
      </c>
      <c r="Q128" s="24" t="s">
        <v>215</v>
      </c>
      <c r="R128" s="24" t="s">
        <v>270</v>
      </c>
      <c r="S128" s="24" t="s">
        <v>266</v>
      </c>
      <c r="T128" s="24" t="s">
        <v>136</v>
      </c>
      <c r="U128" s="24" t="s">
        <v>241</v>
      </c>
      <c r="V128" s="24" t="s">
        <v>199</v>
      </c>
      <c r="AI128" s="24" t="s">
        <v>304</v>
      </c>
      <c r="AJ128" s="24" t="s">
        <v>136</v>
      </c>
      <c r="AK128" s="24" t="s">
        <v>156</v>
      </c>
      <c r="AL128" s="24" t="s">
        <v>136</v>
      </c>
      <c r="AM128" s="24" t="s">
        <v>156</v>
      </c>
      <c r="AN128" s="24" t="s">
        <v>136</v>
      </c>
      <c r="AO128" s="24" t="s">
        <v>136</v>
      </c>
      <c r="AP128" s="24" t="s">
        <v>136</v>
      </c>
      <c r="AQ128" s="24" t="s">
        <v>136</v>
      </c>
      <c r="BU128" s="24" t="s">
        <v>167</v>
      </c>
      <c r="BV128" s="24" t="s">
        <v>136</v>
      </c>
      <c r="BW128" s="24" t="s">
        <v>1296</v>
      </c>
      <c r="BY128" s="24" t="s">
        <v>306</v>
      </c>
      <c r="BZ128" s="24" t="s">
        <v>447</v>
      </c>
      <c r="CA128" s="24" t="s">
        <v>338</v>
      </c>
      <c r="CB128" s="24" t="s">
        <v>149</v>
      </c>
      <c r="CC128" s="24" t="s">
        <v>242</v>
      </c>
      <c r="CD128" s="24" t="s">
        <v>229</v>
      </c>
      <c r="CE128" s="24" t="s">
        <v>152</v>
      </c>
      <c r="CF128" s="24" t="s">
        <v>153</v>
      </c>
      <c r="CG128" s="24">
        <v>4</v>
      </c>
      <c r="CH128" s="24" t="s">
        <v>244</v>
      </c>
      <c r="CI128" s="24" t="s">
        <v>278</v>
      </c>
      <c r="CJ128" s="24" t="s">
        <v>136</v>
      </c>
      <c r="CK128" s="24" t="s">
        <v>438</v>
      </c>
      <c r="CL128" s="24">
        <v>3</v>
      </c>
      <c r="CM128" s="24">
        <v>3</v>
      </c>
      <c r="CN128" s="24">
        <v>3</v>
      </c>
      <c r="CO128" s="24">
        <v>4</v>
      </c>
      <c r="CP128" s="24">
        <v>4</v>
      </c>
      <c r="CQ128" s="24">
        <v>2</v>
      </c>
      <c r="CR128" s="24">
        <v>3</v>
      </c>
      <c r="CS128" s="24">
        <v>4</v>
      </c>
      <c r="CT128" s="24">
        <v>3</v>
      </c>
      <c r="CU128" s="24">
        <v>3</v>
      </c>
      <c r="CV128" s="24">
        <v>4</v>
      </c>
      <c r="CW128" s="24">
        <v>3</v>
      </c>
      <c r="CX128" s="24">
        <v>3</v>
      </c>
      <c r="CY128" s="24">
        <v>4</v>
      </c>
      <c r="CZ128" s="24">
        <v>3</v>
      </c>
      <c r="DA128" s="24">
        <v>3</v>
      </c>
      <c r="DB128" s="24" t="s">
        <v>274</v>
      </c>
      <c r="DC128" s="24">
        <v>2</v>
      </c>
      <c r="DD128" s="24" t="s">
        <v>424</v>
      </c>
      <c r="DE128" s="24" t="s">
        <v>136</v>
      </c>
      <c r="DF128" s="24">
        <v>3</v>
      </c>
      <c r="DG128" s="24">
        <v>3</v>
      </c>
      <c r="DH128" s="24">
        <v>3</v>
      </c>
      <c r="DI128" s="24" t="s">
        <v>789</v>
      </c>
      <c r="DJ128" s="24" t="s">
        <v>210</v>
      </c>
      <c r="DK128" s="24" t="s">
        <v>137</v>
      </c>
    </row>
    <row r="129" spans="1:115" ht="22.5" customHeight="1" x14ac:dyDescent="0.2">
      <c r="A129" s="23">
        <v>46069.558842314815</v>
      </c>
      <c r="B129" s="24" t="s">
        <v>1297</v>
      </c>
      <c r="C129" s="24">
        <v>0</v>
      </c>
      <c r="D129" s="24" t="s">
        <v>1298</v>
      </c>
      <c r="E129" s="24" t="s">
        <v>1299</v>
      </c>
      <c r="F129" s="24" t="s">
        <v>128</v>
      </c>
      <c r="G129" s="24">
        <v>61</v>
      </c>
      <c r="H129" s="25" t="s">
        <v>1300</v>
      </c>
      <c r="I129" s="24" t="s">
        <v>194</v>
      </c>
      <c r="J129" s="24" t="s">
        <v>133</v>
      </c>
      <c r="K129" s="24" t="s">
        <v>302</v>
      </c>
      <c r="M129" s="24" t="s">
        <v>136</v>
      </c>
      <c r="N129" s="24" t="s">
        <v>425</v>
      </c>
      <c r="O129" s="24" t="s">
        <v>199</v>
      </c>
      <c r="P129" s="24" t="s">
        <v>156</v>
      </c>
      <c r="Q129" s="24" t="s">
        <v>215</v>
      </c>
      <c r="R129" s="24" t="s">
        <v>443</v>
      </c>
      <c r="S129" s="24" t="s">
        <v>266</v>
      </c>
      <c r="T129" s="24" t="s">
        <v>136</v>
      </c>
      <c r="U129" s="24" t="s">
        <v>202</v>
      </c>
      <c r="V129" s="24" t="s">
        <v>199</v>
      </c>
      <c r="AI129" s="24" t="s">
        <v>144</v>
      </c>
      <c r="AJ129" s="24" t="s">
        <v>136</v>
      </c>
      <c r="AK129" s="24" t="s">
        <v>136</v>
      </c>
      <c r="AL129" s="24" t="s">
        <v>156</v>
      </c>
      <c r="AM129" s="24" t="s">
        <v>136</v>
      </c>
      <c r="AN129" s="24" t="s">
        <v>156</v>
      </c>
      <c r="AO129" s="24" t="s">
        <v>156</v>
      </c>
      <c r="AP129" s="24" t="s">
        <v>156</v>
      </c>
      <c r="AQ129" s="24" t="s">
        <v>156</v>
      </c>
      <c r="BN129" s="24" t="s">
        <v>346</v>
      </c>
      <c r="BO129" s="24" t="s">
        <v>136</v>
      </c>
      <c r="BR129" s="24" t="s">
        <v>146</v>
      </c>
      <c r="BS129" s="24" t="s">
        <v>169</v>
      </c>
      <c r="BT129" s="24" t="s">
        <v>340</v>
      </c>
      <c r="CB129" s="24" t="s">
        <v>149</v>
      </c>
      <c r="CC129" s="24" t="s">
        <v>150</v>
      </c>
      <c r="CD129" s="24" t="s">
        <v>229</v>
      </c>
      <c r="CE129" s="24" t="s">
        <v>152</v>
      </c>
      <c r="CF129" s="24" t="s">
        <v>153</v>
      </c>
      <c r="CG129" s="24">
        <v>4</v>
      </c>
      <c r="CH129" s="24" t="s">
        <v>154</v>
      </c>
      <c r="CI129" s="24" t="s">
        <v>206</v>
      </c>
      <c r="CJ129" s="24" t="s">
        <v>136</v>
      </c>
      <c r="CK129" s="24" t="s">
        <v>438</v>
      </c>
      <c r="CL129" s="24">
        <v>3</v>
      </c>
      <c r="CM129" s="24">
        <v>3</v>
      </c>
      <c r="CN129" s="24">
        <v>3</v>
      </c>
      <c r="CO129" s="24">
        <v>3</v>
      </c>
      <c r="CP129" s="24">
        <v>4</v>
      </c>
      <c r="CQ129" s="24">
        <v>3</v>
      </c>
      <c r="CR129" s="24">
        <v>3</v>
      </c>
      <c r="CS129" s="24">
        <v>3</v>
      </c>
      <c r="CT129" s="24">
        <v>3</v>
      </c>
      <c r="CU129" s="24">
        <v>3</v>
      </c>
      <c r="CV129" s="24">
        <v>3</v>
      </c>
      <c r="CW129" s="24">
        <v>3</v>
      </c>
      <c r="CX129" s="24">
        <v>3</v>
      </c>
      <c r="CY129" s="24">
        <v>3</v>
      </c>
      <c r="CZ129" s="24">
        <v>3</v>
      </c>
      <c r="DA129" s="24">
        <v>3</v>
      </c>
      <c r="DB129" s="24" t="s">
        <v>379</v>
      </c>
      <c r="DC129" s="24">
        <v>3</v>
      </c>
      <c r="DD129" s="24" t="s">
        <v>330</v>
      </c>
      <c r="DE129" s="24" t="s">
        <v>156</v>
      </c>
      <c r="DJ129" s="24" t="s">
        <v>210</v>
      </c>
      <c r="DK129" s="24" t="s">
        <v>137</v>
      </c>
    </row>
    <row r="130" spans="1:115" ht="22.5" customHeight="1" x14ac:dyDescent="0.2">
      <c r="A130" s="23">
        <v>46069.5824421875</v>
      </c>
      <c r="B130" s="24" t="s">
        <v>1301</v>
      </c>
      <c r="C130" s="24">
        <v>0</v>
      </c>
      <c r="D130" s="24" t="s">
        <v>1302</v>
      </c>
      <c r="E130" s="24" t="s">
        <v>1303</v>
      </c>
      <c r="F130" s="24" t="s">
        <v>163</v>
      </c>
      <c r="G130" s="24">
        <v>60</v>
      </c>
      <c r="H130" s="25" t="s">
        <v>1304</v>
      </c>
      <c r="I130" s="24" t="s">
        <v>194</v>
      </c>
      <c r="J130" s="24" t="s">
        <v>344</v>
      </c>
      <c r="K130" s="24" t="s">
        <v>302</v>
      </c>
      <c r="M130" s="24" t="s">
        <v>136</v>
      </c>
      <c r="N130" s="24" t="s">
        <v>264</v>
      </c>
      <c r="O130" s="24" t="s">
        <v>199</v>
      </c>
      <c r="P130" s="24" t="s">
        <v>156</v>
      </c>
      <c r="Q130" s="24" t="s">
        <v>215</v>
      </c>
      <c r="R130" s="24" t="s">
        <v>270</v>
      </c>
      <c r="S130" s="24" t="s">
        <v>266</v>
      </c>
      <c r="T130" s="24" t="s">
        <v>136</v>
      </c>
      <c r="U130" s="24" t="s">
        <v>202</v>
      </c>
      <c r="V130" s="24" t="s">
        <v>199</v>
      </c>
      <c r="AI130" s="24" t="s">
        <v>219</v>
      </c>
      <c r="AJ130" s="24" t="s">
        <v>136</v>
      </c>
      <c r="AK130" s="24" t="s">
        <v>136</v>
      </c>
      <c r="AL130" s="24" t="s">
        <v>136</v>
      </c>
      <c r="AM130" s="24" t="s">
        <v>156</v>
      </c>
      <c r="AN130" s="24" t="s">
        <v>136</v>
      </c>
      <c r="AO130" s="24" t="s">
        <v>136</v>
      </c>
      <c r="AP130" s="24" t="s">
        <v>136</v>
      </c>
      <c r="AQ130" s="24" t="s">
        <v>136</v>
      </c>
      <c r="BF130" s="24" t="s">
        <v>167</v>
      </c>
      <c r="BG130" s="24" t="s">
        <v>156</v>
      </c>
      <c r="BH130" s="24" t="s">
        <v>137</v>
      </c>
      <c r="BI130" s="24" t="s">
        <v>1305</v>
      </c>
      <c r="BJ130" s="24" t="s">
        <v>136</v>
      </c>
      <c r="BK130" s="24" t="s">
        <v>1110</v>
      </c>
      <c r="BL130" s="24" t="s">
        <v>509</v>
      </c>
      <c r="BM130" s="24" t="s">
        <v>967</v>
      </c>
      <c r="BN130" s="24" t="s">
        <v>933</v>
      </c>
      <c r="BO130" s="24" t="s">
        <v>156</v>
      </c>
      <c r="BP130" s="24" t="s">
        <v>137</v>
      </c>
      <c r="BQ130" s="24" t="s">
        <v>1306</v>
      </c>
      <c r="BR130" s="24" t="s">
        <v>327</v>
      </c>
      <c r="BS130" s="24" t="s">
        <v>388</v>
      </c>
      <c r="BT130" s="24" t="s">
        <v>361</v>
      </c>
      <c r="CB130" s="24" t="s">
        <v>149</v>
      </c>
      <c r="CC130" s="24" t="s">
        <v>150</v>
      </c>
      <c r="CD130" s="24" t="s">
        <v>322</v>
      </c>
      <c r="CE130" s="24" t="s">
        <v>152</v>
      </c>
      <c r="CF130" s="24" t="s">
        <v>391</v>
      </c>
      <c r="CG130" s="24">
        <v>4</v>
      </c>
      <c r="CH130" s="24" t="s">
        <v>154</v>
      </c>
      <c r="CI130" s="24" t="s">
        <v>206</v>
      </c>
      <c r="CJ130" s="24" t="s">
        <v>136</v>
      </c>
      <c r="CK130" s="24" t="s">
        <v>246</v>
      </c>
      <c r="CL130" s="24">
        <v>3</v>
      </c>
      <c r="CM130" s="24">
        <v>3</v>
      </c>
      <c r="CN130" s="24">
        <v>4</v>
      </c>
      <c r="CO130" s="24">
        <v>4</v>
      </c>
      <c r="CP130" s="24">
        <v>4</v>
      </c>
      <c r="CQ130" s="24">
        <v>3</v>
      </c>
      <c r="CR130" s="24">
        <v>2</v>
      </c>
      <c r="CS130" s="24">
        <v>4</v>
      </c>
      <c r="CT130" s="24">
        <v>2</v>
      </c>
      <c r="CU130" s="24">
        <v>3</v>
      </c>
      <c r="CV130" s="24">
        <v>4</v>
      </c>
      <c r="CW130" s="24">
        <v>2</v>
      </c>
      <c r="CX130" s="24">
        <v>4</v>
      </c>
      <c r="CY130" s="24">
        <v>4</v>
      </c>
      <c r="CZ130" s="24">
        <v>4</v>
      </c>
      <c r="DA130" s="24">
        <v>2</v>
      </c>
      <c r="DB130" s="24" t="s">
        <v>375</v>
      </c>
      <c r="DC130" s="24">
        <v>3</v>
      </c>
      <c r="DD130" s="24" t="s">
        <v>672</v>
      </c>
      <c r="DE130" s="24" t="s">
        <v>136</v>
      </c>
      <c r="DF130" s="24">
        <v>4</v>
      </c>
      <c r="DG130" s="24">
        <v>4</v>
      </c>
      <c r="DH130" s="24">
        <v>3</v>
      </c>
      <c r="DI130" s="24" t="s">
        <v>158</v>
      </c>
      <c r="DJ130" s="24" t="s">
        <v>159</v>
      </c>
      <c r="DK130" s="24" t="s">
        <v>1307</v>
      </c>
    </row>
    <row r="131" spans="1:115" ht="22.5" customHeight="1" x14ac:dyDescent="0.2">
      <c r="A131" s="23">
        <v>46069.592755972219</v>
      </c>
      <c r="B131" s="24" t="s">
        <v>1308</v>
      </c>
      <c r="C131" s="24">
        <v>0</v>
      </c>
      <c r="D131" s="24" t="s">
        <v>1309</v>
      </c>
      <c r="E131" s="24" t="s">
        <v>1310</v>
      </c>
      <c r="F131" s="24" t="s">
        <v>163</v>
      </c>
      <c r="G131" s="24">
        <v>62</v>
      </c>
      <c r="H131" s="25" t="s">
        <v>1311</v>
      </c>
      <c r="I131" s="24" t="s">
        <v>194</v>
      </c>
      <c r="J131" s="24" t="s">
        <v>195</v>
      </c>
      <c r="K131" s="24" t="s">
        <v>302</v>
      </c>
      <c r="L131" s="24" t="s">
        <v>239</v>
      </c>
      <c r="M131" s="24" t="s">
        <v>136</v>
      </c>
      <c r="N131" s="24" t="s">
        <v>240</v>
      </c>
      <c r="O131" s="24" t="s">
        <v>199</v>
      </c>
      <c r="P131" s="24" t="s">
        <v>156</v>
      </c>
      <c r="Q131" s="24" t="s">
        <v>215</v>
      </c>
      <c r="R131" s="24" t="s">
        <v>270</v>
      </c>
      <c r="S131" s="24" t="s">
        <v>266</v>
      </c>
      <c r="T131" s="24" t="s">
        <v>136</v>
      </c>
      <c r="U131" s="24" t="s">
        <v>202</v>
      </c>
      <c r="V131" s="24" t="s">
        <v>199</v>
      </c>
      <c r="AI131" s="24" t="s">
        <v>304</v>
      </c>
      <c r="AJ131" s="24" t="s">
        <v>136</v>
      </c>
      <c r="AK131" s="24" t="s">
        <v>136</v>
      </c>
      <c r="AL131" s="24" t="s">
        <v>136</v>
      </c>
      <c r="AM131" s="24" t="s">
        <v>136</v>
      </c>
      <c r="AN131" s="24" t="s">
        <v>136</v>
      </c>
      <c r="AO131" s="24" t="s">
        <v>136</v>
      </c>
      <c r="AP131" s="24" t="s">
        <v>136</v>
      </c>
      <c r="AQ131" s="24" t="s">
        <v>136</v>
      </c>
      <c r="BU131" s="24" t="s">
        <v>167</v>
      </c>
      <c r="BV131" s="24" t="s">
        <v>136</v>
      </c>
      <c r="BW131" s="24" t="s">
        <v>1312</v>
      </c>
      <c r="BY131" s="24" t="s">
        <v>376</v>
      </c>
      <c r="BZ131" s="24" t="s">
        <v>307</v>
      </c>
      <c r="CA131" s="24" t="s">
        <v>439</v>
      </c>
      <c r="CB131" s="24" t="s">
        <v>149</v>
      </c>
      <c r="CC131" s="24" t="s">
        <v>150</v>
      </c>
      <c r="CD131" s="24" t="s">
        <v>151</v>
      </c>
      <c r="CE131" s="24" t="s">
        <v>152</v>
      </c>
      <c r="CF131" s="24" t="s">
        <v>391</v>
      </c>
      <c r="CG131" s="24">
        <v>4</v>
      </c>
      <c r="CH131" s="24" t="s">
        <v>244</v>
      </c>
      <c r="CI131" s="24" t="s">
        <v>324</v>
      </c>
      <c r="CJ131" s="24" t="s">
        <v>136</v>
      </c>
      <c r="CK131" s="24" t="s">
        <v>246</v>
      </c>
      <c r="CL131" s="24">
        <v>3</v>
      </c>
      <c r="CM131" s="24">
        <v>3</v>
      </c>
      <c r="CN131" s="24">
        <v>3</v>
      </c>
      <c r="CO131" s="24">
        <v>3</v>
      </c>
      <c r="CP131" s="24">
        <v>4</v>
      </c>
      <c r="CQ131" s="24">
        <v>3</v>
      </c>
      <c r="CR131" s="24">
        <v>3</v>
      </c>
      <c r="CS131" s="24">
        <v>3</v>
      </c>
      <c r="CT131" s="24">
        <v>3</v>
      </c>
      <c r="CU131" s="24">
        <v>3</v>
      </c>
      <c r="CV131" s="24">
        <v>3</v>
      </c>
      <c r="CW131" s="24">
        <v>3</v>
      </c>
      <c r="CX131" s="24">
        <v>3</v>
      </c>
      <c r="CY131" s="24">
        <v>3</v>
      </c>
      <c r="CZ131" s="24">
        <v>3</v>
      </c>
      <c r="DA131" s="24">
        <v>3</v>
      </c>
      <c r="DB131" s="24" t="s">
        <v>274</v>
      </c>
      <c r="DC131" s="24">
        <v>3</v>
      </c>
      <c r="DD131" s="24" t="s">
        <v>157</v>
      </c>
      <c r="DE131" s="24" t="s">
        <v>156</v>
      </c>
      <c r="DJ131" s="24" t="s">
        <v>262</v>
      </c>
      <c r="DK131" s="24" t="s">
        <v>1313</v>
      </c>
    </row>
    <row r="132" spans="1:115" ht="22.5" customHeight="1" x14ac:dyDescent="0.2">
      <c r="A132" s="23">
        <v>46069.714703472222</v>
      </c>
      <c r="B132" s="24" t="s">
        <v>1314</v>
      </c>
      <c r="C132" s="24">
        <v>0</v>
      </c>
      <c r="D132" s="24" t="s">
        <v>1315</v>
      </c>
      <c r="E132" s="24" t="s">
        <v>1316</v>
      </c>
      <c r="F132" s="24" t="s">
        <v>128</v>
      </c>
      <c r="G132" s="24">
        <v>62</v>
      </c>
      <c r="H132" s="25" t="s">
        <v>1317</v>
      </c>
      <c r="I132" s="24" t="s">
        <v>194</v>
      </c>
      <c r="J132" s="24" t="s">
        <v>133</v>
      </c>
      <c r="K132" s="24" t="s">
        <v>302</v>
      </c>
      <c r="M132" s="24" t="s">
        <v>156</v>
      </c>
      <c r="N132" s="24" t="s">
        <v>215</v>
      </c>
      <c r="O132" s="24" t="s">
        <v>355</v>
      </c>
      <c r="P132" s="24" t="s">
        <v>136</v>
      </c>
      <c r="Q132" s="24" t="s">
        <v>502</v>
      </c>
      <c r="R132" s="24" t="s">
        <v>199</v>
      </c>
      <c r="S132" s="24" t="s">
        <v>313</v>
      </c>
      <c r="T132" s="24" t="s">
        <v>136</v>
      </c>
      <c r="U132" s="24" t="s">
        <v>356</v>
      </c>
      <c r="V132" s="24" t="s">
        <v>199</v>
      </c>
      <c r="AI132" s="24" t="s">
        <v>144</v>
      </c>
      <c r="AJ132" s="24" t="s">
        <v>136</v>
      </c>
      <c r="AK132" s="24" t="s">
        <v>136</v>
      </c>
      <c r="AL132" s="24" t="s">
        <v>156</v>
      </c>
      <c r="AM132" s="24" t="s">
        <v>136</v>
      </c>
      <c r="AN132" s="24" t="s">
        <v>156</v>
      </c>
      <c r="AO132" s="24" t="s">
        <v>156</v>
      </c>
      <c r="AP132" s="24" t="s">
        <v>136</v>
      </c>
      <c r="AQ132" s="24" t="s">
        <v>156</v>
      </c>
      <c r="BN132" s="24" t="s">
        <v>167</v>
      </c>
      <c r="BO132" s="24" t="s">
        <v>136</v>
      </c>
      <c r="BP132" s="24" t="s">
        <v>1318</v>
      </c>
      <c r="BR132" s="24" t="s">
        <v>168</v>
      </c>
      <c r="BS132" s="24" t="s">
        <v>169</v>
      </c>
      <c r="BT132" s="24" t="s">
        <v>340</v>
      </c>
      <c r="CB132" s="24" t="s">
        <v>149</v>
      </c>
      <c r="CC132" s="24" t="s">
        <v>150</v>
      </c>
      <c r="CD132" s="24" t="s">
        <v>322</v>
      </c>
      <c r="CE132" s="24" t="s">
        <v>204</v>
      </c>
      <c r="CF132" s="24" t="s">
        <v>243</v>
      </c>
      <c r="CG132" s="24">
        <v>4</v>
      </c>
      <c r="CH132" s="24" t="s">
        <v>154</v>
      </c>
      <c r="CI132" s="24" t="s">
        <v>357</v>
      </c>
      <c r="CJ132" s="24" t="s">
        <v>156</v>
      </c>
      <c r="CK132" s="24" t="s">
        <v>328</v>
      </c>
      <c r="CL132" s="24">
        <v>1</v>
      </c>
      <c r="CM132" s="24">
        <v>1</v>
      </c>
      <c r="CN132" s="24">
        <v>2</v>
      </c>
      <c r="CO132" s="24">
        <v>2</v>
      </c>
      <c r="CP132" s="24">
        <v>2</v>
      </c>
      <c r="CQ132" s="24">
        <v>1</v>
      </c>
      <c r="CR132" s="24">
        <v>2</v>
      </c>
      <c r="CS132" s="24">
        <v>3</v>
      </c>
      <c r="CT132" s="24">
        <v>2</v>
      </c>
      <c r="CU132" s="24">
        <v>2</v>
      </c>
      <c r="CV132" s="24">
        <v>2</v>
      </c>
      <c r="CW132" s="24">
        <v>2</v>
      </c>
      <c r="CX132" s="24">
        <v>2</v>
      </c>
      <c r="CY132" s="24">
        <v>3</v>
      </c>
      <c r="CZ132" s="24">
        <v>2</v>
      </c>
      <c r="DA132" s="24">
        <v>2</v>
      </c>
      <c r="DB132" s="24" t="s">
        <v>274</v>
      </c>
      <c r="DC132" s="24">
        <v>1</v>
      </c>
      <c r="DD132" s="24" t="s">
        <v>281</v>
      </c>
      <c r="DE132" s="24" t="s">
        <v>156</v>
      </c>
      <c r="DJ132" s="24" t="s">
        <v>210</v>
      </c>
      <c r="DK132" s="24" t="s">
        <v>381</v>
      </c>
    </row>
    <row r="133" spans="1:115" ht="22.5" customHeight="1" x14ac:dyDescent="0.2">
      <c r="A133" s="23">
        <v>46069.939301666665</v>
      </c>
      <c r="B133" s="24" t="s">
        <v>331</v>
      </c>
      <c r="C133" s="24">
        <v>0</v>
      </c>
      <c r="D133" s="24" t="s">
        <v>332</v>
      </c>
      <c r="E133" s="24" t="s">
        <v>333</v>
      </c>
      <c r="F133" s="24" t="s">
        <v>163</v>
      </c>
      <c r="G133" s="24">
        <v>61</v>
      </c>
      <c r="H133" s="25" t="s">
        <v>334</v>
      </c>
      <c r="I133" s="24" t="s">
        <v>194</v>
      </c>
      <c r="J133" s="24" t="s">
        <v>301</v>
      </c>
      <c r="K133" s="24" t="s">
        <v>302</v>
      </c>
      <c r="M133" s="24" t="s">
        <v>136</v>
      </c>
      <c r="N133" s="24" t="s">
        <v>276</v>
      </c>
      <c r="O133" s="24" t="s">
        <v>199</v>
      </c>
      <c r="P133" s="24" t="s">
        <v>156</v>
      </c>
      <c r="Q133" s="24" t="s">
        <v>215</v>
      </c>
      <c r="R133" s="24" t="s">
        <v>318</v>
      </c>
      <c r="S133" s="24" t="s">
        <v>266</v>
      </c>
      <c r="T133" s="24" t="s">
        <v>136</v>
      </c>
      <c r="U133" s="24" t="s">
        <v>256</v>
      </c>
      <c r="V133" s="24" t="s">
        <v>199</v>
      </c>
      <c r="AI133" s="24" t="s">
        <v>304</v>
      </c>
      <c r="AJ133" s="24" t="s">
        <v>136</v>
      </c>
      <c r="AK133" s="24" t="s">
        <v>156</v>
      </c>
      <c r="AL133" s="24" t="s">
        <v>136</v>
      </c>
      <c r="AM133" s="24" t="s">
        <v>136</v>
      </c>
      <c r="AN133" s="24" t="s">
        <v>136</v>
      </c>
      <c r="AO133" s="24" t="s">
        <v>136</v>
      </c>
      <c r="AP133" s="24" t="s">
        <v>136</v>
      </c>
      <c r="AQ133" s="24" t="s">
        <v>136</v>
      </c>
      <c r="BU133" s="24" t="s">
        <v>305</v>
      </c>
      <c r="BV133" s="24" t="s">
        <v>136</v>
      </c>
      <c r="BW133" s="24" t="s">
        <v>1319</v>
      </c>
      <c r="BY133" s="24" t="s">
        <v>420</v>
      </c>
      <c r="BZ133" s="24" t="s">
        <v>1320</v>
      </c>
      <c r="CA133" s="24" t="s">
        <v>308</v>
      </c>
      <c r="CB133" s="24" t="s">
        <v>267</v>
      </c>
      <c r="CC133" s="24" t="s">
        <v>150</v>
      </c>
      <c r="CD133" s="24" t="s">
        <v>151</v>
      </c>
      <c r="CE133" s="24" t="s">
        <v>152</v>
      </c>
      <c r="CF133" s="24" t="s">
        <v>153</v>
      </c>
      <c r="CG133" s="24">
        <v>4</v>
      </c>
      <c r="CH133" s="24" t="s">
        <v>244</v>
      </c>
      <c r="CI133" s="24" t="s">
        <v>309</v>
      </c>
      <c r="CJ133" s="24" t="s">
        <v>136</v>
      </c>
      <c r="CK133" s="24" t="s">
        <v>279</v>
      </c>
      <c r="CL133" s="24">
        <v>4</v>
      </c>
      <c r="CM133" s="24">
        <v>4</v>
      </c>
      <c r="CN133" s="24">
        <v>4</v>
      </c>
      <c r="CO133" s="24">
        <v>4</v>
      </c>
      <c r="CP133" s="24">
        <v>5</v>
      </c>
      <c r="CQ133" s="24">
        <v>4</v>
      </c>
      <c r="CR133" s="24">
        <v>4</v>
      </c>
      <c r="CS133" s="24">
        <v>4</v>
      </c>
      <c r="CT133" s="24">
        <v>4</v>
      </c>
      <c r="CU133" s="24">
        <v>4</v>
      </c>
      <c r="CV133" s="24">
        <v>4</v>
      </c>
      <c r="CW133" s="24">
        <v>4</v>
      </c>
      <c r="CX133" s="24">
        <v>4</v>
      </c>
      <c r="CY133" s="24">
        <v>3</v>
      </c>
      <c r="CZ133" s="24">
        <v>4</v>
      </c>
      <c r="DA133" s="24">
        <v>4</v>
      </c>
      <c r="DB133" s="24" t="s">
        <v>247</v>
      </c>
      <c r="DC133" s="24">
        <v>3</v>
      </c>
      <c r="DD133" s="24" t="s">
        <v>261</v>
      </c>
      <c r="DE133" s="24" t="s">
        <v>136</v>
      </c>
      <c r="DF133" s="24">
        <v>4</v>
      </c>
      <c r="DG133" s="24">
        <v>2</v>
      </c>
      <c r="DH133" s="24">
        <v>3</v>
      </c>
      <c r="DI133" s="24" t="s">
        <v>364</v>
      </c>
      <c r="DJ133" s="24" t="s">
        <v>210</v>
      </c>
      <c r="DK133" s="24" t="s">
        <v>137</v>
      </c>
    </row>
    <row r="134" spans="1:115" ht="22.5" customHeight="1" x14ac:dyDescent="0.2">
      <c r="A134" s="23">
        <v>46070.404085138885</v>
      </c>
      <c r="B134" s="24" t="s">
        <v>1321</v>
      </c>
      <c r="C134" s="24">
        <v>0</v>
      </c>
      <c r="D134" s="24" t="s">
        <v>1322</v>
      </c>
      <c r="E134" s="24" t="s">
        <v>1323</v>
      </c>
      <c r="F134" s="24" t="s">
        <v>128</v>
      </c>
      <c r="G134" s="24">
        <v>61</v>
      </c>
      <c r="H134" s="25" t="s">
        <v>1324</v>
      </c>
      <c r="I134" s="24" t="s">
        <v>275</v>
      </c>
      <c r="J134" s="24" t="s">
        <v>301</v>
      </c>
      <c r="K134" s="24" t="s">
        <v>302</v>
      </c>
      <c r="M134" s="24" t="s">
        <v>136</v>
      </c>
      <c r="N134" s="24" t="s">
        <v>425</v>
      </c>
      <c r="O134" s="24" t="s">
        <v>199</v>
      </c>
      <c r="P134" s="24" t="s">
        <v>136</v>
      </c>
      <c r="Q134" s="24" t="s">
        <v>502</v>
      </c>
      <c r="R134" s="24" t="s">
        <v>199</v>
      </c>
      <c r="S134" s="24" t="s">
        <v>218</v>
      </c>
      <c r="T134" s="24" t="s">
        <v>136</v>
      </c>
      <c r="U134" s="24" t="s">
        <v>241</v>
      </c>
      <c r="V134" s="24" t="s">
        <v>199</v>
      </c>
      <c r="AI134" s="24" t="s">
        <v>219</v>
      </c>
      <c r="AJ134" s="24" t="s">
        <v>136</v>
      </c>
      <c r="AK134" s="24" t="s">
        <v>136</v>
      </c>
      <c r="AL134" s="24" t="s">
        <v>156</v>
      </c>
      <c r="AM134" s="24" t="s">
        <v>156</v>
      </c>
      <c r="AN134" s="24" t="s">
        <v>156</v>
      </c>
      <c r="AO134" s="24" t="s">
        <v>136</v>
      </c>
      <c r="AP134" s="24" t="s">
        <v>136</v>
      </c>
      <c r="AQ134" s="24" t="s">
        <v>136</v>
      </c>
      <c r="BF134" s="24" t="s">
        <v>167</v>
      </c>
      <c r="BG134" s="24" t="s">
        <v>136</v>
      </c>
      <c r="BH134" s="24" t="s">
        <v>1325</v>
      </c>
      <c r="BJ134" s="24" t="s">
        <v>136</v>
      </c>
      <c r="BK134" s="24" t="s">
        <v>385</v>
      </c>
      <c r="BL134" s="24" t="s">
        <v>509</v>
      </c>
      <c r="BM134" s="24" t="s">
        <v>397</v>
      </c>
      <c r="BN134" s="24" t="s">
        <v>933</v>
      </c>
      <c r="BO134" s="24" t="s">
        <v>156</v>
      </c>
      <c r="BR134" s="24" t="s">
        <v>327</v>
      </c>
      <c r="BS134" s="24" t="s">
        <v>147</v>
      </c>
      <c r="BT134" s="24" t="s">
        <v>340</v>
      </c>
      <c r="CB134" s="24" t="s">
        <v>149</v>
      </c>
      <c r="CC134" s="24" t="s">
        <v>242</v>
      </c>
      <c r="CD134" s="24" t="s">
        <v>322</v>
      </c>
      <c r="CE134" s="24" t="s">
        <v>152</v>
      </c>
      <c r="CF134" s="24" t="s">
        <v>153</v>
      </c>
      <c r="CG134" s="24">
        <v>2</v>
      </c>
      <c r="CH134" s="24" t="s">
        <v>244</v>
      </c>
      <c r="CI134" s="24" t="s">
        <v>916</v>
      </c>
      <c r="CJ134" s="24" t="s">
        <v>136</v>
      </c>
      <c r="CK134" s="24" t="s">
        <v>207</v>
      </c>
      <c r="CL134" s="24">
        <v>4</v>
      </c>
      <c r="CM134" s="24">
        <v>4</v>
      </c>
      <c r="CN134" s="24">
        <v>4</v>
      </c>
      <c r="CO134" s="24">
        <v>4</v>
      </c>
      <c r="CP134" s="24">
        <v>5</v>
      </c>
      <c r="CQ134" s="24">
        <v>4</v>
      </c>
      <c r="CR134" s="24">
        <v>4</v>
      </c>
      <c r="CS134" s="24">
        <v>4</v>
      </c>
      <c r="CT134" s="24">
        <v>4</v>
      </c>
      <c r="CU134" s="24">
        <v>3</v>
      </c>
      <c r="CV134" s="24">
        <v>3</v>
      </c>
      <c r="CW134" s="24">
        <v>2</v>
      </c>
      <c r="CX134" s="24">
        <v>2</v>
      </c>
      <c r="CY134" s="24">
        <v>2</v>
      </c>
      <c r="CZ134" s="24">
        <v>2</v>
      </c>
      <c r="DA134" s="24">
        <v>2</v>
      </c>
      <c r="DB134" s="24" t="s">
        <v>247</v>
      </c>
      <c r="DC134" s="24">
        <v>4</v>
      </c>
      <c r="DD134" s="24" t="s">
        <v>1140</v>
      </c>
      <c r="DE134" s="24" t="s">
        <v>156</v>
      </c>
      <c r="DJ134" s="24" t="s">
        <v>442</v>
      </c>
      <c r="DK134" s="24" t="s">
        <v>137</v>
      </c>
    </row>
    <row r="135" spans="1:115" ht="22.5" customHeight="1" x14ac:dyDescent="0.2">
      <c r="A135" s="23">
        <v>46070.404968275463</v>
      </c>
      <c r="B135" s="24" t="s">
        <v>1326</v>
      </c>
      <c r="C135" s="24">
        <v>0</v>
      </c>
      <c r="D135" s="24" t="s">
        <v>1327</v>
      </c>
      <c r="E135" s="24" t="s">
        <v>1328</v>
      </c>
      <c r="F135" s="24" t="s">
        <v>128</v>
      </c>
      <c r="G135" s="24">
        <v>61</v>
      </c>
      <c r="H135" s="25" t="s">
        <v>1329</v>
      </c>
      <c r="I135" s="24" t="s">
        <v>194</v>
      </c>
      <c r="J135" s="24" t="s">
        <v>301</v>
      </c>
      <c r="K135" s="24" t="s">
        <v>302</v>
      </c>
      <c r="M135" s="24" t="s">
        <v>156</v>
      </c>
      <c r="N135" s="24" t="s">
        <v>215</v>
      </c>
      <c r="O135" s="24" t="s">
        <v>216</v>
      </c>
      <c r="P135" s="24" t="s">
        <v>136</v>
      </c>
      <c r="Q135" s="24" t="s">
        <v>303</v>
      </c>
      <c r="R135" s="24" t="s">
        <v>199</v>
      </c>
      <c r="S135" s="24" t="s">
        <v>266</v>
      </c>
      <c r="T135" s="24" t="s">
        <v>136</v>
      </c>
      <c r="U135" s="24" t="s">
        <v>356</v>
      </c>
      <c r="V135" s="24" t="s">
        <v>199</v>
      </c>
      <c r="AI135" s="24" t="s">
        <v>144</v>
      </c>
      <c r="AJ135" s="24" t="s">
        <v>136</v>
      </c>
      <c r="AK135" s="24" t="s">
        <v>136</v>
      </c>
      <c r="AL135" s="24" t="s">
        <v>136</v>
      </c>
      <c r="AM135" s="24" t="s">
        <v>136</v>
      </c>
      <c r="AN135" s="24" t="s">
        <v>156</v>
      </c>
      <c r="AO135" s="24" t="s">
        <v>136</v>
      </c>
      <c r="AP135" s="24" t="s">
        <v>136</v>
      </c>
      <c r="AQ135" s="24" t="s">
        <v>136</v>
      </c>
      <c r="BN135" s="24" t="s">
        <v>167</v>
      </c>
      <c r="BO135" s="24" t="s">
        <v>136</v>
      </c>
      <c r="BP135" s="24" t="s">
        <v>1330</v>
      </c>
      <c r="BR135" s="24" t="s">
        <v>226</v>
      </c>
      <c r="BS135" s="24" t="s">
        <v>169</v>
      </c>
      <c r="BT135" s="24" t="s">
        <v>340</v>
      </c>
      <c r="CB135" s="24" t="s">
        <v>149</v>
      </c>
      <c r="CC135" s="24" t="s">
        <v>150</v>
      </c>
      <c r="CD135" s="24" t="s">
        <v>229</v>
      </c>
      <c r="CE135" s="24" t="s">
        <v>152</v>
      </c>
      <c r="CF135" s="24" t="s">
        <v>243</v>
      </c>
      <c r="CG135" s="24">
        <v>4</v>
      </c>
      <c r="CH135" s="24" t="s">
        <v>154</v>
      </c>
      <c r="CI135" s="24" t="s">
        <v>278</v>
      </c>
      <c r="CJ135" s="24" t="s">
        <v>136</v>
      </c>
      <c r="CK135" s="24" t="s">
        <v>279</v>
      </c>
      <c r="CL135" s="24">
        <v>2</v>
      </c>
      <c r="CM135" s="24">
        <v>3</v>
      </c>
      <c r="CN135" s="24">
        <v>3</v>
      </c>
      <c r="CO135" s="24">
        <v>4</v>
      </c>
      <c r="CP135" s="24">
        <v>4</v>
      </c>
      <c r="CQ135" s="24">
        <v>3</v>
      </c>
      <c r="CR135" s="24">
        <v>3</v>
      </c>
      <c r="CS135" s="24">
        <v>3</v>
      </c>
      <c r="CT135" s="24">
        <v>3</v>
      </c>
      <c r="CU135" s="24">
        <v>3</v>
      </c>
      <c r="CV135" s="24">
        <v>3</v>
      </c>
      <c r="CW135" s="24">
        <v>3</v>
      </c>
      <c r="CX135" s="24">
        <v>3</v>
      </c>
      <c r="CY135" s="24">
        <v>4</v>
      </c>
      <c r="CZ135" s="24">
        <v>3</v>
      </c>
      <c r="DA135" s="24">
        <v>3</v>
      </c>
      <c r="DB135" s="24" t="s">
        <v>247</v>
      </c>
      <c r="DC135" s="24">
        <v>3</v>
      </c>
      <c r="DD135" s="24" t="s">
        <v>624</v>
      </c>
      <c r="DE135" s="24" t="s">
        <v>156</v>
      </c>
      <c r="DJ135" s="24" t="s">
        <v>210</v>
      </c>
      <c r="DK135" s="24" t="s">
        <v>156</v>
      </c>
    </row>
    <row r="136" spans="1:115" ht="22.5" customHeight="1" x14ac:dyDescent="0.2">
      <c r="A136" s="23">
        <v>46070.417269120371</v>
      </c>
      <c r="B136" s="24" t="s">
        <v>1331</v>
      </c>
      <c r="C136" s="24">
        <v>0</v>
      </c>
      <c r="D136" s="24" t="s">
        <v>1332</v>
      </c>
      <c r="E136" s="24" t="s">
        <v>1333</v>
      </c>
      <c r="F136" s="24" t="s">
        <v>163</v>
      </c>
      <c r="G136" s="24">
        <v>61</v>
      </c>
      <c r="H136" s="25" t="s">
        <v>1334</v>
      </c>
      <c r="I136" s="24" t="s">
        <v>194</v>
      </c>
      <c r="J136" s="24" t="s">
        <v>384</v>
      </c>
      <c r="K136" s="24" t="s">
        <v>302</v>
      </c>
      <c r="M136" s="24" t="s">
        <v>136</v>
      </c>
      <c r="N136" s="24" t="s">
        <v>240</v>
      </c>
      <c r="O136" s="24" t="s">
        <v>199</v>
      </c>
      <c r="P136" s="24" t="s">
        <v>136</v>
      </c>
      <c r="Q136" s="24" t="s">
        <v>293</v>
      </c>
      <c r="R136" s="24" t="s">
        <v>199</v>
      </c>
      <c r="S136" s="24" t="s">
        <v>218</v>
      </c>
      <c r="T136" s="24" t="s">
        <v>136</v>
      </c>
      <c r="U136" s="24" t="s">
        <v>356</v>
      </c>
      <c r="V136" s="24" t="s">
        <v>199</v>
      </c>
      <c r="AI136" s="24" t="s">
        <v>144</v>
      </c>
      <c r="AJ136" s="24" t="s">
        <v>136</v>
      </c>
      <c r="AK136" s="24" t="s">
        <v>136</v>
      </c>
      <c r="AL136" s="24" t="s">
        <v>156</v>
      </c>
      <c r="AM136" s="24" t="s">
        <v>136</v>
      </c>
      <c r="AN136" s="24" t="s">
        <v>156</v>
      </c>
      <c r="AO136" s="24" t="s">
        <v>136</v>
      </c>
      <c r="AP136" s="24" t="s">
        <v>136</v>
      </c>
      <c r="AQ136" s="24" t="s">
        <v>156</v>
      </c>
      <c r="BN136" s="24" t="s">
        <v>346</v>
      </c>
      <c r="BO136" s="24" t="s">
        <v>136</v>
      </c>
      <c r="BP136" s="24" t="s">
        <v>1335</v>
      </c>
      <c r="BR136" s="24" t="s">
        <v>168</v>
      </c>
      <c r="BS136" s="24" t="s">
        <v>169</v>
      </c>
      <c r="BT136" s="24" t="s">
        <v>340</v>
      </c>
      <c r="CB136" s="24" t="s">
        <v>149</v>
      </c>
      <c r="CC136" s="24" t="s">
        <v>150</v>
      </c>
      <c r="CD136" s="24" t="s">
        <v>229</v>
      </c>
      <c r="CE136" s="24" t="s">
        <v>152</v>
      </c>
      <c r="CF136" s="24" t="s">
        <v>153</v>
      </c>
      <c r="CG136" s="24">
        <v>4</v>
      </c>
      <c r="CH136" s="24" t="s">
        <v>154</v>
      </c>
      <c r="CI136" s="24" t="s">
        <v>259</v>
      </c>
      <c r="CJ136" s="24" t="s">
        <v>136</v>
      </c>
      <c r="CK136" s="24" t="s">
        <v>207</v>
      </c>
      <c r="CL136" s="24">
        <v>1</v>
      </c>
      <c r="CM136" s="24">
        <v>1</v>
      </c>
      <c r="CN136" s="24">
        <v>2</v>
      </c>
      <c r="CO136" s="24">
        <v>2</v>
      </c>
      <c r="CP136" s="24">
        <v>2</v>
      </c>
      <c r="CQ136" s="24">
        <v>2</v>
      </c>
      <c r="CR136" s="24">
        <v>3</v>
      </c>
      <c r="CS136" s="24">
        <v>2</v>
      </c>
      <c r="CT136" s="24">
        <v>2</v>
      </c>
      <c r="CU136" s="24">
        <v>2</v>
      </c>
      <c r="CV136" s="24">
        <v>2</v>
      </c>
      <c r="CW136" s="24">
        <v>2</v>
      </c>
      <c r="CX136" s="24">
        <v>2</v>
      </c>
      <c r="CY136" s="24">
        <v>3</v>
      </c>
      <c r="CZ136" s="24">
        <v>2</v>
      </c>
      <c r="DA136" s="24">
        <v>2</v>
      </c>
      <c r="DB136" s="24" t="s">
        <v>247</v>
      </c>
      <c r="DC136" s="24">
        <v>4</v>
      </c>
      <c r="DD136" s="24" t="s">
        <v>574</v>
      </c>
      <c r="DE136" s="24" t="s">
        <v>156</v>
      </c>
      <c r="DJ136" s="24" t="s">
        <v>1336</v>
      </c>
      <c r="DK136" s="24" t="s">
        <v>137</v>
      </c>
    </row>
    <row r="137" spans="1:115" ht="22.5" customHeight="1" x14ac:dyDescent="0.2">
      <c r="A137" s="23">
        <v>46070.471065972219</v>
      </c>
      <c r="B137" s="24" t="s">
        <v>1337</v>
      </c>
      <c r="C137" s="24">
        <v>0</v>
      </c>
      <c r="D137" s="24" t="s">
        <v>1338</v>
      </c>
      <c r="E137" s="24" t="s">
        <v>1339</v>
      </c>
      <c r="F137" s="24" t="s">
        <v>128</v>
      </c>
      <c r="G137" s="24">
        <v>61</v>
      </c>
      <c r="H137" s="25" t="s">
        <v>1340</v>
      </c>
      <c r="I137" s="24" t="s">
        <v>194</v>
      </c>
      <c r="J137" s="24" t="s">
        <v>133</v>
      </c>
      <c r="K137" s="24" t="s">
        <v>302</v>
      </c>
      <c r="M137" s="24" t="s">
        <v>136</v>
      </c>
      <c r="N137" s="24" t="s">
        <v>425</v>
      </c>
      <c r="O137" s="24" t="s">
        <v>199</v>
      </c>
      <c r="P137" s="24" t="s">
        <v>156</v>
      </c>
      <c r="Q137" s="24" t="s">
        <v>215</v>
      </c>
      <c r="R137" s="24" t="s">
        <v>270</v>
      </c>
      <c r="S137" s="24" t="s">
        <v>266</v>
      </c>
      <c r="T137" s="24" t="s">
        <v>136</v>
      </c>
      <c r="U137" s="24" t="s">
        <v>241</v>
      </c>
      <c r="V137" s="24" t="s">
        <v>199</v>
      </c>
      <c r="AI137" s="24" t="s">
        <v>219</v>
      </c>
      <c r="AJ137" s="24" t="s">
        <v>136</v>
      </c>
      <c r="AK137" s="24" t="s">
        <v>136</v>
      </c>
      <c r="AL137" s="24" t="s">
        <v>136</v>
      </c>
      <c r="AM137" s="24" t="s">
        <v>136</v>
      </c>
      <c r="AN137" s="24" t="s">
        <v>136</v>
      </c>
      <c r="AO137" s="24" t="s">
        <v>156</v>
      </c>
      <c r="AP137" s="24" t="s">
        <v>136</v>
      </c>
      <c r="AQ137" s="24" t="s">
        <v>156</v>
      </c>
      <c r="BF137" s="24" t="s">
        <v>305</v>
      </c>
      <c r="BG137" s="24" t="s">
        <v>156</v>
      </c>
      <c r="BI137" s="24" t="s">
        <v>1341</v>
      </c>
      <c r="BJ137" s="24" t="s">
        <v>156</v>
      </c>
      <c r="BK137" s="24" t="s">
        <v>713</v>
      </c>
      <c r="BL137" s="24" t="s">
        <v>386</v>
      </c>
      <c r="BM137" s="24" t="s">
        <v>223</v>
      </c>
      <c r="BN137" s="24" t="s">
        <v>305</v>
      </c>
      <c r="BO137" s="24" t="s">
        <v>156</v>
      </c>
      <c r="BQ137" s="24" t="s">
        <v>1342</v>
      </c>
      <c r="BR137" s="24" t="s">
        <v>226</v>
      </c>
      <c r="BS137" s="24" t="s">
        <v>169</v>
      </c>
      <c r="BT137" s="24" t="s">
        <v>227</v>
      </c>
      <c r="CB137" s="24" t="s">
        <v>228</v>
      </c>
      <c r="CC137" s="24" t="s">
        <v>150</v>
      </c>
      <c r="CD137" s="24" t="s">
        <v>322</v>
      </c>
      <c r="CE137" s="24" t="s">
        <v>152</v>
      </c>
      <c r="CF137" s="24" t="s">
        <v>243</v>
      </c>
      <c r="CG137" s="24">
        <v>4</v>
      </c>
      <c r="CH137" s="24" t="s">
        <v>244</v>
      </c>
      <c r="CI137" s="24" t="s">
        <v>259</v>
      </c>
      <c r="CJ137" s="24" t="s">
        <v>136</v>
      </c>
      <c r="CK137" s="24" t="s">
        <v>512</v>
      </c>
      <c r="CL137" s="24">
        <v>4</v>
      </c>
      <c r="CM137" s="24">
        <v>4</v>
      </c>
      <c r="CN137" s="24">
        <v>4</v>
      </c>
      <c r="CO137" s="24">
        <v>4</v>
      </c>
      <c r="CP137" s="24">
        <v>3</v>
      </c>
      <c r="CQ137" s="24">
        <v>3</v>
      </c>
      <c r="CR137" s="24">
        <v>4</v>
      </c>
      <c r="CS137" s="24">
        <v>4</v>
      </c>
      <c r="CT137" s="24">
        <v>4</v>
      </c>
      <c r="CU137" s="24">
        <v>4</v>
      </c>
      <c r="CV137" s="24">
        <v>4</v>
      </c>
      <c r="CW137" s="24">
        <v>4</v>
      </c>
      <c r="CX137" s="24">
        <v>4</v>
      </c>
      <c r="CY137" s="24">
        <v>4</v>
      </c>
      <c r="CZ137" s="24">
        <v>4</v>
      </c>
      <c r="DA137" s="24">
        <v>4</v>
      </c>
      <c r="DB137" s="24" t="s">
        <v>247</v>
      </c>
      <c r="DC137" s="24">
        <v>4</v>
      </c>
      <c r="DD137" s="24" t="s">
        <v>281</v>
      </c>
      <c r="DE137" s="24" t="s">
        <v>136</v>
      </c>
      <c r="DF137" s="24">
        <v>4</v>
      </c>
      <c r="DG137" s="24">
        <v>4</v>
      </c>
      <c r="DH137" s="24">
        <v>4</v>
      </c>
      <c r="DI137" s="24" t="s">
        <v>696</v>
      </c>
      <c r="DJ137" s="24" t="s">
        <v>210</v>
      </c>
      <c r="DK137" s="24" t="s">
        <v>1343</v>
      </c>
    </row>
    <row r="138" spans="1:115" ht="22.5" customHeight="1" x14ac:dyDescent="0.2">
      <c r="A138" s="23">
        <v>46070.812815185185</v>
      </c>
      <c r="B138" s="24" t="s">
        <v>1344</v>
      </c>
      <c r="C138" s="24">
        <v>0</v>
      </c>
      <c r="D138" s="24" t="s">
        <v>1345</v>
      </c>
      <c r="E138" s="24" t="s">
        <v>1346</v>
      </c>
      <c r="F138" s="24" t="s">
        <v>128</v>
      </c>
      <c r="G138" s="24">
        <v>61</v>
      </c>
      <c r="H138" s="25" t="s">
        <v>1347</v>
      </c>
      <c r="I138" s="24" t="s">
        <v>194</v>
      </c>
      <c r="J138" s="24" t="s">
        <v>133</v>
      </c>
      <c r="K138" s="24" t="s">
        <v>302</v>
      </c>
      <c r="M138" s="24" t="s">
        <v>136</v>
      </c>
      <c r="N138" s="24" t="s">
        <v>425</v>
      </c>
      <c r="O138" s="24" t="s">
        <v>199</v>
      </c>
      <c r="P138" s="24" t="s">
        <v>136</v>
      </c>
      <c r="Q138" s="24" t="s">
        <v>502</v>
      </c>
      <c r="R138" s="24" t="s">
        <v>199</v>
      </c>
      <c r="S138" s="24" t="s">
        <v>544</v>
      </c>
      <c r="T138" s="24" t="s">
        <v>136</v>
      </c>
      <c r="U138" s="24" t="s">
        <v>356</v>
      </c>
      <c r="V138" s="24" t="s">
        <v>199</v>
      </c>
      <c r="AI138" s="24" t="s">
        <v>219</v>
      </c>
      <c r="AJ138" s="24" t="s">
        <v>156</v>
      </c>
      <c r="AK138" s="24" t="s">
        <v>136</v>
      </c>
      <c r="AL138" s="24" t="s">
        <v>136</v>
      </c>
      <c r="AM138" s="24" t="s">
        <v>156</v>
      </c>
      <c r="AN138" s="24" t="s">
        <v>136</v>
      </c>
      <c r="AO138" s="24" t="s">
        <v>136</v>
      </c>
      <c r="AP138" s="24" t="s">
        <v>136</v>
      </c>
      <c r="AQ138" s="24" t="s">
        <v>136</v>
      </c>
      <c r="BF138" s="24" t="s">
        <v>145</v>
      </c>
      <c r="BG138" s="24" t="s">
        <v>136</v>
      </c>
      <c r="BH138" s="24" t="s">
        <v>1348</v>
      </c>
      <c r="BJ138" s="24" t="s">
        <v>156</v>
      </c>
      <c r="BK138" s="24" t="s">
        <v>221</v>
      </c>
      <c r="BL138" s="24" t="s">
        <v>386</v>
      </c>
      <c r="BM138" s="24" t="s">
        <v>714</v>
      </c>
      <c r="BN138" s="24" t="s">
        <v>346</v>
      </c>
      <c r="BO138" s="24" t="s">
        <v>156</v>
      </c>
      <c r="BQ138" s="24" t="s">
        <v>1349</v>
      </c>
      <c r="BR138" s="24" t="s">
        <v>168</v>
      </c>
      <c r="BS138" s="24" t="s">
        <v>147</v>
      </c>
      <c r="BT138" s="24" t="s">
        <v>361</v>
      </c>
      <c r="CB138" s="24" t="s">
        <v>149</v>
      </c>
      <c r="CC138" s="24" t="s">
        <v>242</v>
      </c>
      <c r="CD138" s="24" t="s">
        <v>151</v>
      </c>
      <c r="CE138" s="24" t="s">
        <v>152</v>
      </c>
      <c r="CF138" s="24" t="s">
        <v>153</v>
      </c>
      <c r="CG138" s="24">
        <v>4</v>
      </c>
      <c r="CH138" s="24" t="s">
        <v>154</v>
      </c>
      <c r="CI138" s="24" t="s">
        <v>324</v>
      </c>
      <c r="CJ138" s="24" t="s">
        <v>136</v>
      </c>
      <c r="CK138" s="24" t="s">
        <v>231</v>
      </c>
      <c r="CL138" s="24">
        <v>2</v>
      </c>
      <c r="CM138" s="24">
        <v>2</v>
      </c>
      <c r="CN138" s="24">
        <v>3</v>
      </c>
      <c r="CO138" s="24">
        <v>4</v>
      </c>
      <c r="CP138" s="24">
        <v>1</v>
      </c>
      <c r="CQ138" s="24">
        <v>1</v>
      </c>
      <c r="CR138" s="24">
        <v>2</v>
      </c>
      <c r="CS138" s="24">
        <v>1</v>
      </c>
      <c r="CT138" s="24">
        <v>1</v>
      </c>
      <c r="CU138" s="24">
        <v>3</v>
      </c>
      <c r="CV138" s="24">
        <v>4</v>
      </c>
      <c r="CW138" s="24">
        <v>1</v>
      </c>
      <c r="CX138" s="24">
        <v>2</v>
      </c>
      <c r="CY138" s="24">
        <v>4</v>
      </c>
      <c r="CZ138" s="24">
        <v>1</v>
      </c>
      <c r="DA138" s="24">
        <v>1</v>
      </c>
      <c r="DB138" s="24" t="s">
        <v>310</v>
      </c>
      <c r="DC138" s="24">
        <v>3</v>
      </c>
      <c r="DD138" s="24" t="s">
        <v>672</v>
      </c>
      <c r="DE138" s="24" t="s">
        <v>156</v>
      </c>
      <c r="DJ138" s="24" t="s">
        <v>262</v>
      </c>
      <c r="DK138" s="24" t="s">
        <v>137</v>
      </c>
    </row>
    <row r="139" spans="1:115" ht="22.5" customHeight="1" x14ac:dyDescent="0.2">
      <c r="A139" s="23">
        <v>46072.014656516199</v>
      </c>
      <c r="B139" s="24" t="s">
        <v>1350</v>
      </c>
      <c r="C139" s="24">
        <v>0</v>
      </c>
      <c r="D139" s="24" t="s">
        <v>1351</v>
      </c>
      <c r="E139" s="24" t="s">
        <v>1352</v>
      </c>
      <c r="F139" s="24" t="s">
        <v>128</v>
      </c>
      <c r="G139" s="24">
        <v>60</v>
      </c>
      <c r="H139" s="25" t="s">
        <v>1353</v>
      </c>
      <c r="I139" s="24" t="s">
        <v>194</v>
      </c>
      <c r="J139" s="24" t="s">
        <v>133</v>
      </c>
      <c r="K139" s="24" t="s">
        <v>302</v>
      </c>
      <c r="M139" s="24" t="s">
        <v>136</v>
      </c>
      <c r="N139" s="24" t="s">
        <v>215</v>
      </c>
      <c r="O139" s="24" t="s">
        <v>355</v>
      </c>
      <c r="P139" s="24" t="s">
        <v>156</v>
      </c>
      <c r="Q139" s="24" t="s">
        <v>215</v>
      </c>
      <c r="R139" s="24" t="s">
        <v>270</v>
      </c>
      <c r="S139" s="24" t="s">
        <v>277</v>
      </c>
      <c r="T139" s="24" t="s">
        <v>136</v>
      </c>
      <c r="U139" s="24" t="s">
        <v>241</v>
      </c>
      <c r="V139" s="24" t="s">
        <v>199</v>
      </c>
      <c r="AI139" s="24" t="s">
        <v>203</v>
      </c>
      <c r="AJ139" s="24" t="s">
        <v>136</v>
      </c>
      <c r="AK139" s="24" t="s">
        <v>136</v>
      </c>
      <c r="AL139" s="24" t="s">
        <v>136</v>
      </c>
      <c r="AM139" s="24" t="s">
        <v>136</v>
      </c>
      <c r="AN139" s="24" t="s">
        <v>156</v>
      </c>
      <c r="AO139" s="24" t="s">
        <v>156</v>
      </c>
      <c r="AP139" s="24" t="s">
        <v>136</v>
      </c>
      <c r="AQ139" s="24" t="s">
        <v>136</v>
      </c>
      <c r="CB139" s="24" t="s">
        <v>267</v>
      </c>
      <c r="CC139" s="24" t="s">
        <v>242</v>
      </c>
      <c r="CD139" s="24" t="s">
        <v>229</v>
      </c>
      <c r="CE139" s="24" t="s">
        <v>204</v>
      </c>
      <c r="CF139" s="24" t="s">
        <v>153</v>
      </c>
      <c r="CG139" s="24">
        <v>4</v>
      </c>
      <c r="CH139" s="24" t="s">
        <v>154</v>
      </c>
      <c r="CI139" s="24" t="s">
        <v>365</v>
      </c>
      <c r="CJ139" s="24" t="s">
        <v>136</v>
      </c>
      <c r="CK139" s="24" t="s">
        <v>512</v>
      </c>
      <c r="CL139" s="24">
        <v>1</v>
      </c>
      <c r="CM139" s="24">
        <v>1</v>
      </c>
      <c r="CN139" s="24">
        <v>2</v>
      </c>
      <c r="CO139" s="24">
        <v>3</v>
      </c>
      <c r="CP139" s="24">
        <v>1</v>
      </c>
      <c r="CQ139" s="24">
        <v>1</v>
      </c>
      <c r="CR139" s="24">
        <v>3</v>
      </c>
      <c r="CS139" s="24">
        <v>3</v>
      </c>
      <c r="CT139" s="24">
        <v>2</v>
      </c>
      <c r="CU139" s="24">
        <v>3</v>
      </c>
      <c r="CV139" s="24">
        <v>3</v>
      </c>
      <c r="CW139" s="24">
        <v>1</v>
      </c>
      <c r="CX139" s="24">
        <v>3</v>
      </c>
      <c r="CY139" s="24">
        <v>3</v>
      </c>
      <c r="CZ139" s="24">
        <v>1</v>
      </c>
      <c r="DA139" s="24">
        <v>1</v>
      </c>
      <c r="DB139" s="24" t="s">
        <v>247</v>
      </c>
      <c r="DC139" s="24">
        <v>3</v>
      </c>
      <c r="DD139" s="24" t="s">
        <v>330</v>
      </c>
      <c r="DE139" s="24" t="s">
        <v>156</v>
      </c>
      <c r="DJ139" s="24" t="s">
        <v>262</v>
      </c>
      <c r="DK139" s="24" t="s">
        <v>1354</v>
      </c>
    </row>
    <row r="140" spans="1:115" ht="22.5" customHeight="1" x14ac:dyDescent="0.2">
      <c r="A140" s="23">
        <v>46072.430332812495</v>
      </c>
      <c r="B140" s="24" t="s">
        <v>1355</v>
      </c>
      <c r="C140" s="24">
        <v>0</v>
      </c>
      <c r="D140" s="24" t="s">
        <v>1356</v>
      </c>
      <c r="E140" s="24" t="s">
        <v>1357</v>
      </c>
      <c r="F140" s="24" t="s">
        <v>163</v>
      </c>
      <c r="G140" s="24">
        <v>61</v>
      </c>
      <c r="H140" s="25" t="s">
        <v>1358</v>
      </c>
      <c r="I140" s="24" t="s">
        <v>194</v>
      </c>
      <c r="J140" s="24" t="s">
        <v>133</v>
      </c>
      <c r="K140" s="24" t="s">
        <v>302</v>
      </c>
      <c r="M140" s="24" t="s">
        <v>136</v>
      </c>
      <c r="N140" s="24" t="s">
        <v>240</v>
      </c>
      <c r="O140" s="24" t="s">
        <v>199</v>
      </c>
      <c r="P140" s="24" t="s">
        <v>156</v>
      </c>
      <c r="Q140" s="24" t="s">
        <v>215</v>
      </c>
      <c r="R140" s="24" t="s">
        <v>270</v>
      </c>
      <c r="S140" s="24" t="s">
        <v>266</v>
      </c>
      <c r="T140" s="24" t="s">
        <v>136</v>
      </c>
      <c r="U140" s="24" t="s">
        <v>202</v>
      </c>
      <c r="V140" s="24" t="s">
        <v>199</v>
      </c>
      <c r="AI140" s="24" t="s">
        <v>144</v>
      </c>
      <c r="AJ140" s="24" t="s">
        <v>136</v>
      </c>
      <c r="AK140" s="24" t="s">
        <v>136</v>
      </c>
      <c r="AL140" s="24" t="s">
        <v>136</v>
      </c>
      <c r="AM140" s="24" t="s">
        <v>156</v>
      </c>
      <c r="AN140" s="24" t="s">
        <v>156</v>
      </c>
      <c r="AO140" s="24" t="s">
        <v>136</v>
      </c>
      <c r="AP140" s="24" t="s">
        <v>136</v>
      </c>
      <c r="AQ140" s="24" t="s">
        <v>136</v>
      </c>
      <c r="BN140" s="24" t="s">
        <v>167</v>
      </c>
      <c r="BO140" s="24" t="s">
        <v>136</v>
      </c>
      <c r="BP140" s="24" t="s">
        <v>1359</v>
      </c>
      <c r="BR140" s="24" t="s">
        <v>168</v>
      </c>
      <c r="BS140" s="24" t="s">
        <v>169</v>
      </c>
      <c r="BT140" s="24" t="s">
        <v>227</v>
      </c>
      <c r="CB140" s="24" t="s">
        <v>149</v>
      </c>
      <c r="CC140" s="24" t="s">
        <v>150</v>
      </c>
      <c r="CD140" s="24" t="s">
        <v>229</v>
      </c>
      <c r="CE140" s="24" t="s">
        <v>204</v>
      </c>
      <c r="CF140" s="24" t="s">
        <v>153</v>
      </c>
      <c r="CG140" s="24">
        <v>4</v>
      </c>
      <c r="CH140" s="24" t="s">
        <v>154</v>
      </c>
      <c r="CI140" s="24" t="s">
        <v>352</v>
      </c>
      <c r="CJ140" s="24" t="s">
        <v>136</v>
      </c>
      <c r="CK140" s="24" t="s">
        <v>328</v>
      </c>
      <c r="CL140" s="24">
        <v>4</v>
      </c>
      <c r="CM140" s="24">
        <v>4</v>
      </c>
      <c r="CN140" s="24">
        <v>3</v>
      </c>
      <c r="CO140" s="24">
        <v>3</v>
      </c>
      <c r="CP140" s="24">
        <v>5</v>
      </c>
      <c r="CQ140" s="24">
        <v>4</v>
      </c>
      <c r="CR140" s="24">
        <v>3</v>
      </c>
      <c r="CS140" s="24">
        <v>4</v>
      </c>
      <c r="CT140" s="24">
        <v>2</v>
      </c>
      <c r="CU140" s="24">
        <v>3</v>
      </c>
      <c r="CV140" s="24">
        <v>4</v>
      </c>
      <c r="CW140" s="24">
        <v>4</v>
      </c>
      <c r="CX140" s="24">
        <v>4</v>
      </c>
      <c r="CY140" s="24">
        <v>4</v>
      </c>
      <c r="CZ140" s="24">
        <v>1</v>
      </c>
      <c r="DA140" s="24">
        <v>1</v>
      </c>
      <c r="DB140" s="24" t="s">
        <v>366</v>
      </c>
      <c r="DC140" s="24">
        <v>4</v>
      </c>
      <c r="DD140" s="24" t="s">
        <v>433</v>
      </c>
      <c r="DE140" s="24" t="s">
        <v>136</v>
      </c>
      <c r="DF140" s="24">
        <v>3</v>
      </c>
      <c r="DG140" s="24">
        <v>2</v>
      </c>
      <c r="DH140" s="24">
        <v>2</v>
      </c>
      <c r="DI140" s="24" t="s">
        <v>347</v>
      </c>
      <c r="DJ140" s="24" t="s">
        <v>159</v>
      </c>
      <c r="DK140" s="24" t="s">
        <v>137</v>
      </c>
    </row>
    <row r="141" spans="1:115" ht="22.5" customHeight="1" x14ac:dyDescent="0.2">
      <c r="A141" s="23">
        <v>46072.445998437499</v>
      </c>
      <c r="B141" s="24" t="s">
        <v>1360</v>
      </c>
      <c r="C141" s="24">
        <v>0</v>
      </c>
      <c r="D141" s="24" t="s">
        <v>1361</v>
      </c>
      <c r="E141" s="24" t="s">
        <v>1362</v>
      </c>
      <c r="F141" s="24" t="s">
        <v>128</v>
      </c>
      <c r="G141" s="24">
        <v>60</v>
      </c>
      <c r="H141" s="25" t="s">
        <v>1363</v>
      </c>
      <c r="I141" s="24" t="s">
        <v>194</v>
      </c>
      <c r="J141" s="24" t="s">
        <v>133</v>
      </c>
      <c r="K141" s="24" t="s">
        <v>135</v>
      </c>
      <c r="M141" s="24" t="s">
        <v>136</v>
      </c>
      <c r="N141" s="24" t="s">
        <v>198</v>
      </c>
      <c r="O141" s="24" t="s">
        <v>199</v>
      </c>
      <c r="P141" s="24" t="s">
        <v>156</v>
      </c>
      <c r="Q141" s="24" t="s">
        <v>215</v>
      </c>
      <c r="R141" s="24" t="s">
        <v>270</v>
      </c>
      <c r="S141" s="24" t="s">
        <v>266</v>
      </c>
      <c r="T141" s="24" t="s">
        <v>136</v>
      </c>
      <c r="U141" s="24" t="s">
        <v>202</v>
      </c>
      <c r="V141" s="24" t="s">
        <v>199</v>
      </c>
      <c r="AI141" s="24" t="s">
        <v>304</v>
      </c>
      <c r="AJ141" s="24" t="s">
        <v>136</v>
      </c>
      <c r="AK141" s="24" t="s">
        <v>136</v>
      </c>
      <c r="AL141" s="24" t="s">
        <v>136</v>
      </c>
      <c r="AM141" s="24" t="s">
        <v>156</v>
      </c>
      <c r="AN141" s="24" t="s">
        <v>136</v>
      </c>
      <c r="AO141" s="24" t="s">
        <v>136</v>
      </c>
      <c r="AP141" s="24" t="s">
        <v>136</v>
      </c>
      <c r="AQ141" s="24" t="s">
        <v>136</v>
      </c>
      <c r="BU141" s="24" t="s">
        <v>346</v>
      </c>
      <c r="BV141" s="24" t="s">
        <v>136</v>
      </c>
      <c r="BW141" s="24" t="s">
        <v>1364</v>
      </c>
      <c r="BY141" s="24" t="s">
        <v>336</v>
      </c>
      <c r="BZ141" s="24" t="s">
        <v>337</v>
      </c>
      <c r="CA141" s="24" t="s">
        <v>439</v>
      </c>
      <c r="CB141" s="24" t="s">
        <v>149</v>
      </c>
      <c r="CC141" s="24" t="s">
        <v>242</v>
      </c>
      <c r="CD141" s="24" t="s">
        <v>229</v>
      </c>
      <c r="CE141" s="24" t="s">
        <v>204</v>
      </c>
      <c r="CF141" s="24" t="s">
        <v>153</v>
      </c>
      <c r="CG141" s="24">
        <v>4</v>
      </c>
      <c r="CH141" s="24" t="s">
        <v>172</v>
      </c>
      <c r="CI141" s="24" t="s">
        <v>374</v>
      </c>
      <c r="CJ141" s="24" t="s">
        <v>136</v>
      </c>
      <c r="CK141" s="24" t="s">
        <v>207</v>
      </c>
      <c r="CL141" s="24">
        <v>4</v>
      </c>
      <c r="CM141" s="24">
        <v>4</v>
      </c>
      <c r="CN141" s="24">
        <v>4</v>
      </c>
      <c r="CO141" s="24">
        <v>4</v>
      </c>
      <c r="CP141" s="24">
        <v>5</v>
      </c>
      <c r="CQ141" s="24">
        <v>4</v>
      </c>
      <c r="CR141" s="24">
        <v>4</v>
      </c>
      <c r="CS141" s="24">
        <v>4</v>
      </c>
      <c r="CT141" s="24">
        <v>4</v>
      </c>
      <c r="CU141" s="24">
        <v>4</v>
      </c>
      <c r="CV141" s="24">
        <v>4</v>
      </c>
      <c r="CW141" s="24">
        <v>4</v>
      </c>
      <c r="CX141" s="24">
        <v>4</v>
      </c>
      <c r="CY141" s="24">
        <v>4</v>
      </c>
      <c r="CZ141" s="24">
        <v>4</v>
      </c>
      <c r="DA141" s="24">
        <v>4</v>
      </c>
      <c r="DB141" s="24" t="s">
        <v>295</v>
      </c>
      <c r="DC141" s="24">
        <v>3</v>
      </c>
      <c r="DD141" s="24" t="s">
        <v>609</v>
      </c>
      <c r="DE141" s="24" t="s">
        <v>156</v>
      </c>
      <c r="DJ141" s="24" t="s">
        <v>159</v>
      </c>
      <c r="DK141" s="24" t="s">
        <v>137</v>
      </c>
    </row>
    <row r="142" spans="1:115" ht="22.5" customHeight="1" x14ac:dyDescent="0.2">
      <c r="A142" s="23">
        <v>46072.450119120374</v>
      </c>
      <c r="B142" s="24" t="s">
        <v>297</v>
      </c>
      <c r="C142" s="24">
        <v>0</v>
      </c>
      <c r="D142" s="24" t="s">
        <v>298</v>
      </c>
      <c r="E142" s="24" t="s">
        <v>299</v>
      </c>
      <c r="F142" s="24" t="s">
        <v>163</v>
      </c>
      <c r="G142" s="24">
        <v>60</v>
      </c>
      <c r="H142" s="25" t="s">
        <v>300</v>
      </c>
      <c r="I142" s="24" t="s">
        <v>275</v>
      </c>
      <c r="J142" s="24" t="s">
        <v>301</v>
      </c>
      <c r="K142" s="24" t="s">
        <v>302</v>
      </c>
      <c r="M142" s="24" t="s">
        <v>136</v>
      </c>
      <c r="N142" s="24" t="s">
        <v>240</v>
      </c>
      <c r="O142" s="24" t="s">
        <v>199</v>
      </c>
      <c r="P142" s="24" t="s">
        <v>136</v>
      </c>
      <c r="Q142" s="24" t="s">
        <v>303</v>
      </c>
      <c r="R142" s="24" t="s">
        <v>270</v>
      </c>
      <c r="S142" s="24" t="s">
        <v>544</v>
      </c>
      <c r="T142" s="24" t="s">
        <v>136</v>
      </c>
      <c r="U142" s="24" t="s">
        <v>241</v>
      </c>
      <c r="V142" s="24" t="s">
        <v>199</v>
      </c>
      <c r="AI142" s="24" t="s">
        <v>304</v>
      </c>
      <c r="AJ142" s="24" t="s">
        <v>136</v>
      </c>
      <c r="AK142" s="24" t="s">
        <v>136</v>
      </c>
      <c r="AL142" s="24" t="s">
        <v>136</v>
      </c>
      <c r="AM142" s="24" t="s">
        <v>136</v>
      </c>
      <c r="AN142" s="24" t="s">
        <v>136</v>
      </c>
      <c r="AO142" s="24" t="s">
        <v>136</v>
      </c>
      <c r="AP142" s="24" t="s">
        <v>136</v>
      </c>
      <c r="AQ142" s="24" t="s">
        <v>136</v>
      </c>
      <c r="BU142" s="24" t="s">
        <v>305</v>
      </c>
      <c r="BV142" s="24" t="s">
        <v>136</v>
      </c>
      <c r="BW142" s="24" t="s">
        <v>1365</v>
      </c>
      <c r="BY142" s="24" t="s">
        <v>306</v>
      </c>
      <c r="BZ142" s="24" t="s">
        <v>307</v>
      </c>
      <c r="CA142" s="24" t="s">
        <v>439</v>
      </c>
      <c r="CB142" s="24" t="s">
        <v>149</v>
      </c>
      <c r="CC142" s="24" t="s">
        <v>242</v>
      </c>
      <c r="CD142" s="24" t="s">
        <v>151</v>
      </c>
      <c r="CE142" s="24" t="s">
        <v>152</v>
      </c>
      <c r="CF142" s="24" t="s">
        <v>153</v>
      </c>
      <c r="CG142" s="24">
        <v>4</v>
      </c>
      <c r="CH142" s="24" t="s">
        <v>286</v>
      </c>
      <c r="CI142" s="24" t="s">
        <v>206</v>
      </c>
      <c r="CJ142" s="24" t="s">
        <v>156</v>
      </c>
      <c r="CK142" s="24" t="s">
        <v>279</v>
      </c>
      <c r="CL142" s="24">
        <v>4</v>
      </c>
      <c r="CM142" s="24">
        <v>4</v>
      </c>
      <c r="CN142" s="24">
        <v>4</v>
      </c>
      <c r="CO142" s="24">
        <v>4</v>
      </c>
      <c r="CP142" s="24">
        <v>5</v>
      </c>
      <c r="CQ142" s="24">
        <v>4</v>
      </c>
      <c r="CR142" s="24">
        <v>4</v>
      </c>
      <c r="CS142" s="24">
        <v>4</v>
      </c>
      <c r="CT142" s="24">
        <v>4</v>
      </c>
      <c r="CU142" s="24">
        <v>4</v>
      </c>
      <c r="CV142" s="24">
        <v>4</v>
      </c>
      <c r="CW142" s="24">
        <v>4</v>
      </c>
      <c r="CX142" s="24">
        <v>4</v>
      </c>
      <c r="CY142" s="24">
        <v>4</v>
      </c>
      <c r="CZ142" s="24">
        <v>4</v>
      </c>
      <c r="DA142" s="24">
        <v>4</v>
      </c>
      <c r="DB142" s="24" t="s">
        <v>274</v>
      </c>
      <c r="DC142" s="24">
        <v>4</v>
      </c>
      <c r="DD142" s="24" t="s">
        <v>744</v>
      </c>
      <c r="DE142" s="24" t="s">
        <v>136</v>
      </c>
      <c r="DF142" s="24">
        <v>3</v>
      </c>
      <c r="DG142" s="24">
        <v>4</v>
      </c>
      <c r="DH142" s="24">
        <v>3</v>
      </c>
      <c r="DI142" s="24" t="s">
        <v>441</v>
      </c>
      <c r="DJ142" s="24" t="s">
        <v>316</v>
      </c>
      <c r="DK142" s="24" t="s">
        <v>1366</v>
      </c>
    </row>
    <row r="143" spans="1:115" ht="22.5" customHeight="1" x14ac:dyDescent="0.2">
      <c r="A143" s="23">
        <v>46072.482149861113</v>
      </c>
      <c r="B143" s="24" t="s">
        <v>1367</v>
      </c>
      <c r="C143" s="24">
        <v>0</v>
      </c>
      <c r="D143" s="24" t="s">
        <v>1368</v>
      </c>
      <c r="E143" s="24" t="s">
        <v>1369</v>
      </c>
      <c r="F143" s="24" t="s">
        <v>128</v>
      </c>
      <c r="G143" s="24">
        <v>59</v>
      </c>
      <c r="H143" s="25" t="s">
        <v>1370</v>
      </c>
      <c r="I143" s="24" t="s">
        <v>194</v>
      </c>
      <c r="J143" s="24" t="s">
        <v>301</v>
      </c>
      <c r="K143" s="24" t="s">
        <v>302</v>
      </c>
      <c r="M143" s="24" t="s">
        <v>136</v>
      </c>
      <c r="N143" s="24" t="s">
        <v>240</v>
      </c>
      <c r="O143" s="24" t="s">
        <v>199</v>
      </c>
      <c r="P143" s="24" t="s">
        <v>136</v>
      </c>
      <c r="Q143" s="24" t="s">
        <v>254</v>
      </c>
      <c r="R143" s="24" t="s">
        <v>199</v>
      </c>
      <c r="S143" s="24" t="s">
        <v>266</v>
      </c>
      <c r="T143" s="24" t="s">
        <v>136</v>
      </c>
      <c r="U143" s="24" t="s">
        <v>241</v>
      </c>
      <c r="V143" s="24" t="s">
        <v>199</v>
      </c>
      <c r="AI143" s="24" t="s">
        <v>304</v>
      </c>
      <c r="AJ143" s="24" t="s">
        <v>136</v>
      </c>
      <c r="AK143" s="24" t="s">
        <v>156</v>
      </c>
      <c r="AL143" s="24" t="s">
        <v>136</v>
      </c>
      <c r="AM143" s="24" t="s">
        <v>156</v>
      </c>
      <c r="AN143" s="24" t="s">
        <v>136</v>
      </c>
      <c r="AO143" s="24" t="s">
        <v>136</v>
      </c>
      <c r="AP143" s="24" t="s">
        <v>136</v>
      </c>
      <c r="AQ143" s="24" t="s">
        <v>156</v>
      </c>
      <c r="BU143" s="24" t="s">
        <v>305</v>
      </c>
      <c r="BV143" s="24" t="s">
        <v>136</v>
      </c>
      <c r="BW143" s="24" t="s">
        <v>1371</v>
      </c>
      <c r="BY143" s="24" t="s">
        <v>536</v>
      </c>
      <c r="BZ143" s="24" t="s">
        <v>337</v>
      </c>
      <c r="CA143" s="24" t="s">
        <v>421</v>
      </c>
      <c r="CB143" s="24" t="s">
        <v>149</v>
      </c>
      <c r="CC143" s="24" t="s">
        <v>150</v>
      </c>
      <c r="CD143" s="24" t="s">
        <v>229</v>
      </c>
      <c r="CE143" s="24" t="s">
        <v>204</v>
      </c>
      <c r="CF143" s="24" t="s">
        <v>153</v>
      </c>
      <c r="CG143" s="24">
        <v>4</v>
      </c>
      <c r="CH143" s="24" t="s">
        <v>244</v>
      </c>
      <c r="CI143" s="24" t="s">
        <v>206</v>
      </c>
      <c r="CJ143" s="24" t="s">
        <v>136</v>
      </c>
      <c r="CK143" s="24" t="s">
        <v>279</v>
      </c>
      <c r="CL143" s="24">
        <v>3</v>
      </c>
      <c r="CM143" s="24">
        <v>3</v>
      </c>
      <c r="CN143" s="24">
        <v>3</v>
      </c>
      <c r="CO143" s="24">
        <v>4</v>
      </c>
      <c r="CP143" s="24">
        <v>4</v>
      </c>
      <c r="CQ143" s="24">
        <v>3</v>
      </c>
      <c r="CR143" s="24">
        <v>3</v>
      </c>
      <c r="CS143" s="24">
        <v>3</v>
      </c>
      <c r="CT143" s="24">
        <v>3</v>
      </c>
      <c r="CU143" s="24">
        <v>3</v>
      </c>
      <c r="CV143" s="24">
        <v>3</v>
      </c>
      <c r="CW143" s="24">
        <v>3</v>
      </c>
      <c r="CX143" s="24">
        <v>3</v>
      </c>
      <c r="CY143" s="24">
        <v>3</v>
      </c>
      <c r="CZ143" s="24">
        <v>3</v>
      </c>
      <c r="DA143" s="24">
        <v>3</v>
      </c>
      <c r="DB143" s="24" t="s">
        <v>274</v>
      </c>
      <c r="DC143" s="24">
        <v>3</v>
      </c>
      <c r="DD143" s="24" t="s">
        <v>643</v>
      </c>
      <c r="DE143" s="24" t="s">
        <v>156</v>
      </c>
      <c r="DJ143" s="24" t="s">
        <v>390</v>
      </c>
      <c r="DK143" s="24" t="s">
        <v>137</v>
      </c>
    </row>
    <row r="144" spans="1:115" ht="22.5" customHeight="1" x14ac:dyDescent="0.2">
      <c r="A144" s="23">
        <v>46072.490582708335</v>
      </c>
      <c r="B144" s="24" t="s">
        <v>1372</v>
      </c>
      <c r="C144" s="24">
        <v>0</v>
      </c>
      <c r="D144" s="24" t="s">
        <v>1373</v>
      </c>
      <c r="E144" s="24" t="s">
        <v>1374</v>
      </c>
      <c r="F144" s="24" t="s">
        <v>163</v>
      </c>
      <c r="G144" s="24">
        <v>60</v>
      </c>
      <c r="H144" s="25" t="s">
        <v>1375</v>
      </c>
      <c r="I144" s="24" t="s">
        <v>132</v>
      </c>
      <c r="J144" s="24" t="s">
        <v>133</v>
      </c>
      <c r="K144" s="24" t="s">
        <v>135</v>
      </c>
      <c r="M144" s="24" t="s">
        <v>136</v>
      </c>
      <c r="N144" s="24" t="s">
        <v>198</v>
      </c>
      <c r="O144" s="24" t="s">
        <v>199</v>
      </c>
      <c r="P144" s="24" t="s">
        <v>156</v>
      </c>
      <c r="Q144" s="24" t="s">
        <v>215</v>
      </c>
      <c r="R144" s="24" t="s">
        <v>318</v>
      </c>
      <c r="S144" s="24" t="s">
        <v>255</v>
      </c>
      <c r="T144" s="24" t="s">
        <v>136</v>
      </c>
      <c r="U144" s="24" t="s">
        <v>202</v>
      </c>
      <c r="V144" s="24" t="s">
        <v>199</v>
      </c>
      <c r="AI144" s="24" t="s">
        <v>219</v>
      </c>
      <c r="AJ144" s="24" t="s">
        <v>136</v>
      </c>
      <c r="AK144" s="24" t="s">
        <v>136</v>
      </c>
      <c r="AL144" s="24" t="s">
        <v>136</v>
      </c>
      <c r="AM144" s="24" t="s">
        <v>136</v>
      </c>
      <c r="AN144" s="24" t="s">
        <v>136</v>
      </c>
      <c r="AO144" s="24" t="s">
        <v>136</v>
      </c>
      <c r="AP144" s="24" t="s">
        <v>136</v>
      </c>
      <c r="AQ144" s="24" t="s">
        <v>156</v>
      </c>
      <c r="BF144" s="24" t="s">
        <v>346</v>
      </c>
      <c r="BG144" s="24" t="s">
        <v>136</v>
      </c>
      <c r="BH144" s="24" t="s">
        <v>1376</v>
      </c>
      <c r="BJ144" s="24" t="s">
        <v>156</v>
      </c>
      <c r="BK144" s="24" t="s">
        <v>396</v>
      </c>
      <c r="BL144" s="24" t="s">
        <v>386</v>
      </c>
      <c r="BM144" s="24" t="s">
        <v>223</v>
      </c>
      <c r="BN144" s="24" t="s">
        <v>167</v>
      </c>
      <c r="BO144" s="24" t="s">
        <v>156</v>
      </c>
      <c r="BP144" s="24" t="s">
        <v>137</v>
      </c>
      <c r="BQ144" s="24" t="s">
        <v>1377</v>
      </c>
      <c r="BR144" s="24" t="s">
        <v>168</v>
      </c>
      <c r="BS144" s="24" t="s">
        <v>169</v>
      </c>
      <c r="BT144" s="24" t="s">
        <v>170</v>
      </c>
      <c r="CB144" s="24" t="s">
        <v>149</v>
      </c>
      <c r="CC144" s="24" t="s">
        <v>150</v>
      </c>
      <c r="CD144" s="24" t="s">
        <v>229</v>
      </c>
      <c r="CE144" s="24" t="s">
        <v>204</v>
      </c>
      <c r="CF144" s="24" t="s">
        <v>153</v>
      </c>
      <c r="CG144" s="24">
        <v>4</v>
      </c>
      <c r="CH144" s="24" t="s">
        <v>286</v>
      </c>
      <c r="CI144" s="24" t="s">
        <v>206</v>
      </c>
      <c r="CJ144" s="24" t="s">
        <v>136</v>
      </c>
      <c r="CK144" s="24" t="s">
        <v>207</v>
      </c>
      <c r="CL144" s="24">
        <v>3</v>
      </c>
      <c r="CM144" s="24">
        <v>3</v>
      </c>
      <c r="CN144" s="24">
        <v>4</v>
      </c>
      <c r="CO144" s="24">
        <v>4</v>
      </c>
      <c r="CP144" s="24">
        <v>4</v>
      </c>
      <c r="CQ144" s="24">
        <v>4</v>
      </c>
      <c r="CR144" s="24">
        <v>4</v>
      </c>
      <c r="CS144" s="24">
        <v>4</v>
      </c>
      <c r="CT144" s="24">
        <v>4</v>
      </c>
      <c r="CU144" s="24">
        <v>4</v>
      </c>
      <c r="CV144" s="24">
        <v>4</v>
      </c>
      <c r="CW144" s="24">
        <v>4</v>
      </c>
      <c r="CX144" s="24">
        <v>4</v>
      </c>
      <c r="CY144" s="24">
        <v>4</v>
      </c>
      <c r="CZ144" s="24">
        <v>4</v>
      </c>
      <c r="DA144" s="24">
        <v>4</v>
      </c>
      <c r="DB144" s="24" t="s">
        <v>399</v>
      </c>
      <c r="DC144" s="24">
        <v>4</v>
      </c>
      <c r="DD144" s="24" t="s">
        <v>268</v>
      </c>
      <c r="DE144" s="24" t="s">
        <v>156</v>
      </c>
      <c r="DJ144" s="24" t="s">
        <v>210</v>
      </c>
      <c r="DK144" s="24" t="s">
        <v>1378</v>
      </c>
    </row>
    <row r="145" spans="1:115" ht="22.5" customHeight="1" x14ac:dyDescent="0.2">
      <c r="A145" s="23">
        <v>46072.52255144676</v>
      </c>
      <c r="B145" s="24" t="s">
        <v>1379</v>
      </c>
      <c r="C145" s="24">
        <v>0</v>
      </c>
      <c r="D145" s="24" t="s">
        <v>1380</v>
      </c>
      <c r="E145" s="24" t="s">
        <v>1381</v>
      </c>
      <c r="F145" s="24" t="s">
        <v>128</v>
      </c>
      <c r="G145" s="24">
        <v>59</v>
      </c>
      <c r="H145" s="25" t="s">
        <v>1382</v>
      </c>
      <c r="I145" s="24" t="s">
        <v>275</v>
      </c>
      <c r="J145" s="24" t="s">
        <v>133</v>
      </c>
      <c r="K145" s="24" t="s">
        <v>135</v>
      </c>
      <c r="M145" s="24" t="s">
        <v>156</v>
      </c>
      <c r="N145" s="24" t="s">
        <v>215</v>
      </c>
      <c r="O145" s="24" t="s">
        <v>355</v>
      </c>
      <c r="P145" s="24" t="s">
        <v>156</v>
      </c>
      <c r="Q145" s="24" t="s">
        <v>215</v>
      </c>
      <c r="R145" s="24" t="s">
        <v>217</v>
      </c>
      <c r="S145" s="24" t="s">
        <v>544</v>
      </c>
      <c r="T145" s="24" t="s">
        <v>136</v>
      </c>
      <c r="U145" s="24" t="s">
        <v>241</v>
      </c>
      <c r="V145" s="24" t="s">
        <v>199</v>
      </c>
      <c r="AI145" s="24" t="s">
        <v>304</v>
      </c>
      <c r="AJ145" s="24" t="s">
        <v>136</v>
      </c>
      <c r="AK145" s="24" t="s">
        <v>136</v>
      </c>
      <c r="AL145" s="24" t="s">
        <v>136</v>
      </c>
      <c r="AM145" s="24" t="s">
        <v>136</v>
      </c>
      <c r="AN145" s="24" t="s">
        <v>136</v>
      </c>
      <c r="AO145" s="24" t="s">
        <v>136</v>
      </c>
      <c r="AP145" s="24" t="s">
        <v>136</v>
      </c>
      <c r="AQ145" s="24" t="s">
        <v>136</v>
      </c>
      <c r="BU145" s="24" t="s">
        <v>305</v>
      </c>
      <c r="BV145" s="24" t="s">
        <v>156</v>
      </c>
      <c r="BX145" s="24" t="s">
        <v>1383</v>
      </c>
      <c r="BY145" s="24" t="s">
        <v>376</v>
      </c>
      <c r="BZ145" s="24" t="s">
        <v>337</v>
      </c>
      <c r="CA145" s="24" t="s">
        <v>308</v>
      </c>
      <c r="CB145" s="24" t="s">
        <v>149</v>
      </c>
      <c r="CC145" s="24" t="s">
        <v>150</v>
      </c>
      <c r="CD145" s="24" t="s">
        <v>151</v>
      </c>
      <c r="CE145" s="24" t="s">
        <v>204</v>
      </c>
      <c r="CF145" s="24" t="s">
        <v>153</v>
      </c>
      <c r="CG145" s="24">
        <v>3</v>
      </c>
      <c r="CH145" s="24" t="s">
        <v>481</v>
      </c>
      <c r="CI145" s="24" t="s">
        <v>287</v>
      </c>
      <c r="CJ145" s="24" t="s">
        <v>136</v>
      </c>
      <c r="CK145" s="24" t="s">
        <v>512</v>
      </c>
      <c r="CL145" s="24">
        <v>3</v>
      </c>
      <c r="CM145" s="24">
        <v>3</v>
      </c>
      <c r="CN145" s="24">
        <v>3</v>
      </c>
      <c r="CO145" s="24">
        <v>3</v>
      </c>
      <c r="CP145" s="24">
        <v>4</v>
      </c>
      <c r="CQ145" s="24">
        <v>3</v>
      </c>
      <c r="CR145" s="24">
        <v>3</v>
      </c>
      <c r="CS145" s="24">
        <v>3</v>
      </c>
      <c r="CT145" s="24">
        <v>3</v>
      </c>
      <c r="CU145" s="24">
        <v>3</v>
      </c>
      <c r="CV145" s="24">
        <v>3</v>
      </c>
      <c r="CW145" s="24">
        <v>3</v>
      </c>
      <c r="CX145" s="24">
        <v>3</v>
      </c>
      <c r="CY145" s="24">
        <v>3</v>
      </c>
      <c r="CZ145" s="24">
        <v>3</v>
      </c>
      <c r="DA145" s="24">
        <v>3</v>
      </c>
      <c r="DB145" s="24" t="s">
        <v>247</v>
      </c>
      <c r="DC145" s="24">
        <v>2</v>
      </c>
      <c r="DD145" s="24" t="s">
        <v>574</v>
      </c>
      <c r="DE145" s="24" t="s">
        <v>156</v>
      </c>
      <c r="DJ145" s="24" t="s">
        <v>262</v>
      </c>
      <c r="DK145" s="24" t="s">
        <v>1384</v>
      </c>
    </row>
    <row r="146" spans="1:115" ht="22.5" customHeight="1" x14ac:dyDescent="0.2">
      <c r="A146" s="23">
        <v>46072.595423287035</v>
      </c>
      <c r="B146" s="24" t="s">
        <v>416</v>
      </c>
      <c r="C146" s="24">
        <v>0</v>
      </c>
      <c r="D146" s="24" t="s">
        <v>417</v>
      </c>
      <c r="E146" s="24" t="s">
        <v>418</v>
      </c>
      <c r="F146" s="24" t="s">
        <v>163</v>
      </c>
      <c r="G146" s="24">
        <v>60</v>
      </c>
      <c r="H146" s="25" t="s">
        <v>419</v>
      </c>
      <c r="I146" s="24" t="s">
        <v>194</v>
      </c>
      <c r="J146" s="24" t="s">
        <v>195</v>
      </c>
      <c r="K146" s="24" t="s">
        <v>302</v>
      </c>
      <c r="L146" s="24" t="s">
        <v>359</v>
      </c>
      <c r="M146" s="24" t="s">
        <v>136</v>
      </c>
      <c r="N146" s="24" t="s">
        <v>240</v>
      </c>
      <c r="O146" s="24" t="s">
        <v>199</v>
      </c>
      <c r="P146" s="24" t="s">
        <v>136</v>
      </c>
      <c r="Q146" s="24" t="s">
        <v>254</v>
      </c>
      <c r="R146" s="24" t="s">
        <v>199</v>
      </c>
      <c r="S146" s="24" t="s">
        <v>255</v>
      </c>
      <c r="T146" s="24" t="s">
        <v>136</v>
      </c>
      <c r="U146" s="24" t="s">
        <v>256</v>
      </c>
      <c r="V146" s="24" t="s">
        <v>199</v>
      </c>
      <c r="AI146" s="24" t="s">
        <v>144</v>
      </c>
      <c r="AJ146" s="24" t="s">
        <v>136</v>
      </c>
      <c r="AK146" s="24" t="s">
        <v>136</v>
      </c>
      <c r="AL146" s="24" t="s">
        <v>136</v>
      </c>
      <c r="AM146" s="24" t="s">
        <v>156</v>
      </c>
      <c r="AN146" s="24" t="s">
        <v>136</v>
      </c>
      <c r="AO146" s="24" t="s">
        <v>136</v>
      </c>
      <c r="AP146" s="24" t="s">
        <v>136</v>
      </c>
      <c r="AQ146" s="24" t="s">
        <v>156</v>
      </c>
      <c r="BN146" s="24" t="s">
        <v>167</v>
      </c>
      <c r="BO146" s="24" t="s">
        <v>136</v>
      </c>
      <c r="BP146" s="24" t="s">
        <v>1385</v>
      </c>
      <c r="BR146" s="24" t="s">
        <v>327</v>
      </c>
      <c r="BS146" s="24" t="s">
        <v>169</v>
      </c>
      <c r="BT146" s="24" t="s">
        <v>148</v>
      </c>
      <c r="CB146" s="24" t="s">
        <v>267</v>
      </c>
      <c r="CC146" s="24" t="s">
        <v>150</v>
      </c>
      <c r="CD146" s="24" t="s">
        <v>229</v>
      </c>
      <c r="CE146" s="24" t="s">
        <v>204</v>
      </c>
      <c r="CF146" s="24" t="s">
        <v>243</v>
      </c>
      <c r="CG146" s="24">
        <v>4</v>
      </c>
      <c r="CH146" s="24" t="s">
        <v>154</v>
      </c>
      <c r="CI146" s="24" t="s">
        <v>278</v>
      </c>
      <c r="CJ146" s="24" t="s">
        <v>136</v>
      </c>
      <c r="CK146" s="24" t="s">
        <v>279</v>
      </c>
      <c r="CL146" s="24">
        <v>4</v>
      </c>
      <c r="CM146" s="24">
        <v>4</v>
      </c>
      <c r="CN146" s="24">
        <v>2</v>
      </c>
      <c r="CO146" s="24">
        <v>4</v>
      </c>
      <c r="CP146" s="24">
        <v>5</v>
      </c>
      <c r="CQ146" s="24">
        <v>4</v>
      </c>
      <c r="CR146" s="24">
        <v>2</v>
      </c>
      <c r="CS146" s="24">
        <v>2</v>
      </c>
      <c r="CT146" s="24">
        <v>4</v>
      </c>
      <c r="CU146" s="24">
        <v>2</v>
      </c>
      <c r="CV146" s="24">
        <v>4</v>
      </c>
      <c r="CW146" s="24">
        <v>2</v>
      </c>
      <c r="CX146" s="24">
        <v>2</v>
      </c>
      <c r="CY146" s="24">
        <v>4</v>
      </c>
      <c r="CZ146" s="24">
        <v>4</v>
      </c>
      <c r="DA146" s="24">
        <v>4</v>
      </c>
      <c r="DB146" s="24" t="s">
        <v>366</v>
      </c>
      <c r="DC146" s="24">
        <v>2</v>
      </c>
      <c r="DD146" s="24" t="s">
        <v>924</v>
      </c>
      <c r="DE146" s="24" t="s">
        <v>136</v>
      </c>
      <c r="DF146" s="24">
        <v>2</v>
      </c>
      <c r="DG146" s="24">
        <v>4</v>
      </c>
      <c r="DH146" s="24">
        <v>1</v>
      </c>
      <c r="DI146" s="24" t="s">
        <v>364</v>
      </c>
      <c r="DJ146" s="24" t="s">
        <v>188</v>
      </c>
      <c r="DK146" s="24" t="s">
        <v>137</v>
      </c>
    </row>
    <row r="147" spans="1:115" ht="22.5" customHeight="1" x14ac:dyDescent="0.2">
      <c r="A147" s="23">
        <v>46072.625344803237</v>
      </c>
      <c r="B147" s="24" t="s">
        <v>1386</v>
      </c>
      <c r="C147" s="24">
        <v>0</v>
      </c>
      <c r="D147" s="24" t="s">
        <v>1387</v>
      </c>
      <c r="E147" s="24" t="s">
        <v>1388</v>
      </c>
      <c r="F147" s="24" t="s">
        <v>163</v>
      </c>
      <c r="G147" s="24">
        <v>61</v>
      </c>
      <c r="H147" s="25" t="s">
        <v>1389</v>
      </c>
      <c r="I147" s="24" t="s">
        <v>194</v>
      </c>
      <c r="J147" s="24" t="s">
        <v>344</v>
      </c>
      <c r="K147" s="24" t="s">
        <v>135</v>
      </c>
      <c r="M147" s="24" t="s">
        <v>136</v>
      </c>
      <c r="N147" s="24" t="s">
        <v>240</v>
      </c>
      <c r="O147" s="24" t="s">
        <v>199</v>
      </c>
      <c r="P147" s="24" t="s">
        <v>156</v>
      </c>
      <c r="Q147" s="24" t="s">
        <v>215</v>
      </c>
      <c r="R147" s="24" t="s">
        <v>270</v>
      </c>
      <c r="S147" s="24" t="s">
        <v>544</v>
      </c>
      <c r="T147" s="24" t="s">
        <v>136</v>
      </c>
      <c r="U147" s="24" t="s">
        <v>241</v>
      </c>
      <c r="V147" s="24" t="s">
        <v>199</v>
      </c>
      <c r="AI147" s="24" t="s">
        <v>144</v>
      </c>
      <c r="AJ147" s="24" t="s">
        <v>136</v>
      </c>
      <c r="AK147" s="24" t="s">
        <v>136</v>
      </c>
      <c r="AL147" s="24" t="s">
        <v>136</v>
      </c>
      <c r="AM147" s="24" t="s">
        <v>136</v>
      </c>
      <c r="AN147" s="24" t="s">
        <v>156</v>
      </c>
      <c r="AO147" s="24" t="s">
        <v>156</v>
      </c>
      <c r="AP147" s="24" t="s">
        <v>136</v>
      </c>
      <c r="AQ147" s="24" t="s">
        <v>136</v>
      </c>
      <c r="BN147" s="24" t="s">
        <v>167</v>
      </c>
      <c r="BO147" s="24" t="s">
        <v>136</v>
      </c>
      <c r="BP147" s="24" t="s">
        <v>1390</v>
      </c>
      <c r="BR147" s="24" t="s">
        <v>146</v>
      </c>
      <c r="BS147" s="24" t="s">
        <v>272</v>
      </c>
      <c r="BT147" s="24" t="s">
        <v>227</v>
      </c>
      <c r="CB147" s="24" t="s">
        <v>149</v>
      </c>
      <c r="CC147" s="24" t="s">
        <v>150</v>
      </c>
      <c r="CD147" s="24" t="s">
        <v>171</v>
      </c>
      <c r="CE147" s="24" t="s">
        <v>152</v>
      </c>
      <c r="CF147" s="24" t="s">
        <v>243</v>
      </c>
      <c r="CG147" s="24">
        <v>4</v>
      </c>
      <c r="CH147" s="24" t="s">
        <v>154</v>
      </c>
      <c r="CI147" s="24" t="s">
        <v>259</v>
      </c>
      <c r="CJ147" s="24" t="s">
        <v>156</v>
      </c>
      <c r="CK147" s="24" t="s">
        <v>207</v>
      </c>
      <c r="CL147" s="24">
        <v>4</v>
      </c>
      <c r="CM147" s="24">
        <v>4</v>
      </c>
      <c r="CN147" s="24">
        <v>3</v>
      </c>
      <c r="CO147" s="24">
        <v>3</v>
      </c>
      <c r="CP147" s="24">
        <v>2</v>
      </c>
      <c r="CQ147" s="24">
        <v>4</v>
      </c>
      <c r="CR147" s="24">
        <v>3</v>
      </c>
      <c r="CS147" s="24">
        <v>3</v>
      </c>
      <c r="CT147" s="24">
        <v>3</v>
      </c>
      <c r="CU147" s="24">
        <v>3</v>
      </c>
      <c r="CV147" s="24">
        <v>3</v>
      </c>
      <c r="CW147" s="24">
        <v>3</v>
      </c>
      <c r="CX147" s="24">
        <v>3</v>
      </c>
      <c r="CY147" s="24">
        <v>4</v>
      </c>
      <c r="CZ147" s="24">
        <v>3</v>
      </c>
      <c r="DA147" s="24">
        <v>3</v>
      </c>
      <c r="DB147" s="24" t="s">
        <v>432</v>
      </c>
      <c r="DC147" s="24">
        <v>3</v>
      </c>
      <c r="DD147" s="24" t="s">
        <v>440</v>
      </c>
      <c r="DE147" s="24" t="s">
        <v>156</v>
      </c>
      <c r="DJ147" s="24" t="s">
        <v>210</v>
      </c>
      <c r="DK147" s="24" t="s">
        <v>1391</v>
      </c>
    </row>
    <row r="148" spans="1:115" ht="22.5" customHeight="1" x14ac:dyDescent="0.2">
      <c r="A148" s="23">
        <v>46072.628448923613</v>
      </c>
      <c r="B148" s="24" t="s">
        <v>1392</v>
      </c>
      <c r="C148" s="24">
        <v>0</v>
      </c>
      <c r="D148" s="24" t="s">
        <v>1393</v>
      </c>
      <c r="E148" s="24" t="s">
        <v>1394</v>
      </c>
      <c r="F148" s="24" t="s">
        <v>128</v>
      </c>
      <c r="G148" s="24">
        <v>62</v>
      </c>
      <c r="H148" s="25" t="s">
        <v>1395</v>
      </c>
      <c r="I148" s="24" t="s">
        <v>275</v>
      </c>
      <c r="J148" s="24" t="s">
        <v>133</v>
      </c>
      <c r="K148" s="24" t="s">
        <v>135</v>
      </c>
      <c r="M148" s="24" t="s">
        <v>156</v>
      </c>
      <c r="N148" s="24" t="s">
        <v>215</v>
      </c>
      <c r="O148" s="24" t="s">
        <v>355</v>
      </c>
      <c r="P148" s="24" t="s">
        <v>156</v>
      </c>
      <c r="Q148" s="24" t="s">
        <v>215</v>
      </c>
      <c r="R148" s="24" t="s">
        <v>217</v>
      </c>
      <c r="S148" s="24" t="s">
        <v>255</v>
      </c>
      <c r="T148" s="24" t="s">
        <v>136</v>
      </c>
      <c r="U148" s="24" t="s">
        <v>356</v>
      </c>
      <c r="V148" s="24" t="s">
        <v>199</v>
      </c>
      <c r="AI148" s="24" t="s">
        <v>144</v>
      </c>
      <c r="AJ148" s="24" t="s">
        <v>136</v>
      </c>
      <c r="AK148" s="24" t="s">
        <v>156</v>
      </c>
      <c r="AL148" s="24" t="s">
        <v>136</v>
      </c>
      <c r="AM148" s="24" t="s">
        <v>136</v>
      </c>
      <c r="AN148" s="24" t="s">
        <v>136</v>
      </c>
      <c r="AO148" s="24" t="s">
        <v>136</v>
      </c>
      <c r="AP148" s="24" t="s">
        <v>136</v>
      </c>
      <c r="AQ148" s="24" t="s">
        <v>136</v>
      </c>
      <c r="BN148" s="24" t="s">
        <v>167</v>
      </c>
      <c r="BO148" s="24" t="s">
        <v>156</v>
      </c>
      <c r="BQ148" s="24" t="s">
        <v>1396</v>
      </c>
      <c r="BR148" s="24" t="s">
        <v>271</v>
      </c>
      <c r="BS148" s="24" t="s">
        <v>169</v>
      </c>
      <c r="BT148" s="24" t="s">
        <v>148</v>
      </c>
      <c r="CB148" s="24" t="s">
        <v>149</v>
      </c>
      <c r="CC148" s="24" t="s">
        <v>150</v>
      </c>
      <c r="CD148" s="24" t="s">
        <v>151</v>
      </c>
      <c r="CE148" s="24" t="s">
        <v>152</v>
      </c>
      <c r="CF148" s="24" t="s">
        <v>153</v>
      </c>
      <c r="CG148" s="24">
        <v>4</v>
      </c>
      <c r="CH148" s="24" t="s">
        <v>481</v>
      </c>
      <c r="CI148" s="24" t="s">
        <v>352</v>
      </c>
      <c r="CJ148" s="24" t="s">
        <v>156</v>
      </c>
      <c r="CK148" s="24" t="s">
        <v>362</v>
      </c>
      <c r="CL148" s="24">
        <v>2</v>
      </c>
      <c r="CM148" s="24">
        <v>2</v>
      </c>
      <c r="CN148" s="24">
        <v>2</v>
      </c>
      <c r="CO148" s="24">
        <v>3</v>
      </c>
      <c r="CP148" s="24">
        <v>3</v>
      </c>
      <c r="CQ148" s="24">
        <v>2</v>
      </c>
      <c r="CR148" s="24">
        <v>2</v>
      </c>
      <c r="CS148" s="24">
        <v>3</v>
      </c>
      <c r="CT148" s="24">
        <v>2</v>
      </c>
      <c r="CU148" s="24">
        <v>2</v>
      </c>
      <c r="CV148" s="24">
        <v>2</v>
      </c>
      <c r="CW148" s="24">
        <v>2</v>
      </c>
      <c r="CX148" s="24">
        <v>2</v>
      </c>
      <c r="CY148" s="24">
        <v>2</v>
      </c>
      <c r="CZ148" s="24">
        <v>2</v>
      </c>
      <c r="DA148" s="24">
        <v>2</v>
      </c>
      <c r="DB148" s="24" t="s">
        <v>736</v>
      </c>
      <c r="DC148" s="24">
        <v>2</v>
      </c>
      <c r="DD148" s="24" t="s">
        <v>209</v>
      </c>
      <c r="DE148" s="24" t="s">
        <v>156</v>
      </c>
      <c r="DJ148" s="24" t="s">
        <v>159</v>
      </c>
      <c r="DK148" s="24" t="s">
        <v>137</v>
      </c>
    </row>
    <row r="149" spans="1:115" ht="22.5" customHeight="1" x14ac:dyDescent="0.2">
      <c r="A149" s="23">
        <v>46072.642027013891</v>
      </c>
      <c r="B149" s="24" t="s">
        <v>1397</v>
      </c>
      <c r="C149" s="24">
        <v>0</v>
      </c>
      <c r="D149" s="24" t="s">
        <v>1398</v>
      </c>
      <c r="E149" s="24" t="s">
        <v>1399</v>
      </c>
      <c r="F149" s="24" t="s">
        <v>163</v>
      </c>
      <c r="G149" s="24">
        <v>61</v>
      </c>
      <c r="H149" s="25" t="s">
        <v>1400</v>
      </c>
      <c r="I149" s="24" t="s">
        <v>275</v>
      </c>
      <c r="J149" s="24" t="s">
        <v>133</v>
      </c>
      <c r="K149" s="24" t="s">
        <v>135</v>
      </c>
      <c r="M149" s="24" t="s">
        <v>156</v>
      </c>
      <c r="N149" s="24" t="s">
        <v>215</v>
      </c>
      <c r="O149" s="24" t="s">
        <v>216</v>
      </c>
      <c r="P149" s="24" t="s">
        <v>136</v>
      </c>
      <c r="Q149" s="24" t="s">
        <v>303</v>
      </c>
      <c r="R149" s="24" t="s">
        <v>199</v>
      </c>
      <c r="S149" s="24" t="s">
        <v>277</v>
      </c>
      <c r="T149" s="24" t="s">
        <v>136</v>
      </c>
      <c r="U149" s="24" t="s">
        <v>202</v>
      </c>
      <c r="V149" s="24" t="s">
        <v>199</v>
      </c>
      <c r="AI149" s="24" t="s">
        <v>203</v>
      </c>
      <c r="AJ149" s="24" t="s">
        <v>136</v>
      </c>
      <c r="AK149" s="24" t="s">
        <v>156</v>
      </c>
      <c r="AL149" s="24" t="s">
        <v>156</v>
      </c>
      <c r="AM149" s="24" t="s">
        <v>136</v>
      </c>
      <c r="AN149" s="24" t="s">
        <v>156</v>
      </c>
      <c r="AO149" s="24" t="s">
        <v>156</v>
      </c>
      <c r="AP149" s="24" t="s">
        <v>156</v>
      </c>
      <c r="AQ149" s="24" t="s">
        <v>156</v>
      </c>
      <c r="CB149" s="24" t="s">
        <v>149</v>
      </c>
      <c r="CC149" s="24" t="s">
        <v>150</v>
      </c>
      <c r="CD149" s="24" t="s">
        <v>151</v>
      </c>
      <c r="CE149" s="24" t="s">
        <v>204</v>
      </c>
      <c r="CF149" s="24" t="s">
        <v>153</v>
      </c>
      <c r="CG149" s="24">
        <v>4</v>
      </c>
      <c r="CH149" s="24" t="s">
        <v>205</v>
      </c>
      <c r="CI149" s="24" t="s">
        <v>206</v>
      </c>
      <c r="CJ149" s="24" t="s">
        <v>136</v>
      </c>
      <c r="CK149" s="24" t="s">
        <v>207</v>
      </c>
      <c r="CL149" s="24">
        <v>2</v>
      </c>
      <c r="CM149" s="24">
        <v>1</v>
      </c>
      <c r="CN149" s="24">
        <v>2</v>
      </c>
      <c r="CO149" s="24">
        <v>2</v>
      </c>
      <c r="CP149" s="24">
        <v>3</v>
      </c>
      <c r="CQ149" s="24">
        <v>2</v>
      </c>
      <c r="CR149" s="24">
        <v>2</v>
      </c>
      <c r="CS149" s="24">
        <v>2</v>
      </c>
      <c r="CT149" s="24">
        <v>2</v>
      </c>
      <c r="CU149" s="24">
        <v>2</v>
      </c>
      <c r="CV149" s="24">
        <v>2</v>
      </c>
      <c r="CW149" s="24">
        <v>2</v>
      </c>
      <c r="CX149" s="24">
        <v>2</v>
      </c>
      <c r="CY149" s="24">
        <v>2</v>
      </c>
      <c r="CZ149" s="24">
        <v>2</v>
      </c>
      <c r="DA149" s="24">
        <v>2</v>
      </c>
      <c r="DB149" s="24" t="s">
        <v>383</v>
      </c>
      <c r="DC149" s="24">
        <v>4</v>
      </c>
      <c r="DD149" s="24" t="s">
        <v>1401</v>
      </c>
      <c r="DE149" s="24" t="s">
        <v>156</v>
      </c>
      <c r="DJ149" s="24" t="s">
        <v>210</v>
      </c>
      <c r="DK149" s="24" t="s">
        <v>381</v>
      </c>
    </row>
    <row r="150" spans="1:115" ht="22.5" customHeight="1" x14ac:dyDescent="0.2">
      <c r="A150" s="23">
        <v>46072.679482280088</v>
      </c>
      <c r="B150" s="24" t="s">
        <v>1402</v>
      </c>
      <c r="C150" s="24">
        <v>0</v>
      </c>
      <c r="D150" s="24" t="s">
        <v>1403</v>
      </c>
      <c r="E150" s="24" t="s">
        <v>1404</v>
      </c>
      <c r="F150" s="24" t="s">
        <v>163</v>
      </c>
      <c r="G150" s="24">
        <v>61</v>
      </c>
      <c r="H150" s="25" t="s">
        <v>1405</v>
      </c>
      <c r="I150" s="24" t="s">
        <v>194</v>
      </c>
      <c r="J150" s="24" t="s">
        <v>133</v>
      </c>
      <c r="K150" s="24" t="s">
        <v>135</v>
      </c>
      <c r="M150" s="24" t="s">
        <v>136</v>
      </c>
      <c r="N150" s="24" t="s">
        <v>240</v>
      </c>
      <c r="O150" s="24" t="s">
        <v>199</v>
      </c>
      <c r="P150" s="24" t="s">
        <v>156</v>
      </c>
      <c r="Q150" s="24" t="s">
        <v>215</v>
      </c>
      <c r="R150" s="24" t="s">
        <v>217</v>
      </c>
      <c r="S150" s="24" t="s">
        <v>277</v>
      </c>
      <c r="T150" s="24" t="s">
        <v>136</v>
      </c>
      <c r="U150" s="24" t="s">
        <v>241</v>
      </c>
      <c r="V150" s="24" t="s">
        <v>199</v>
      </c>
      <c r="AI150" s="24" t="s">
        <v>304</v>
      </c>
      <c r="AJ150" s="24" t="s">
        <v>136</v>
      </c>
      <c r="AK150" s="24" t="s">
        <v>136</v>
      </c>
      <c r="AL150" s="24" t="s">
        <v>136</v>
      </c>
      <c r="AM150" s="24" t="s">
        <v>136</v>
      </c>
      <c r="AN150" s="24" t="s">
        <v>136</v>
      </c>
      <c r="AO150" s="24" t="s">
        <v>136</v>
      </c>
      <c r="AP150" s="24" t="s">
        <v>136</v>
      </c>
      <c r="AQ150" s="24" t="s">
        <v>136</v>
      </c>
      <c r="BU150" s="24" t="s">
        <v>305</v>
      </c>
      <c r="BV150" s="24" t="s">
        <v>136</v>
      </c>
      <c r="BW150" s="24" t="s">
        <v>1406</v>
      </c>
      <c r="BX150" s="24" t="s">
        <v>137</v>
      </c>
      <c r="BY150" s="24" t="s">
        <v>376</v>
      </c>
      <c r="BZ150" s="24" t="s">
        <v>307</v>
      </c>
      <c r="CA150" s="24" t="s">
        <v>308</v>
      </c>
      <c r="CB150" s="24" t="s">
        <v>267</v>
      </c>
      <c r="CC150" s="24" t="s">
        <v>150</v>
      </c>
      <c r="CD150" s="24" t="s">
        <v>229</v>
      </c>
      <c r="CE150" s="24" t="s">
        <v>204</v>
      </c>
      <c r="CF150" s="24" t="s">
        <v>153</v>
      </c>
      <c r="CG150" s="24">
        <v>4</v>
      </c>
      <c r="CH150" s="24" t="s">
        <v>154</v>
      </c>
      <c r="CI150" s="24" t="s">
        <v>365</v>
      </c>
      <c r="CJ150" s="24" t="s">
        <v>136</v>
      </c>
      <c r="CK150" s="24" t="s">
        <v>279</v>
      </c>
      <c r="CL150" s="24">
        <v>4</v>
      </c>
      <c r="CM150" s="24">
        <v>4</v>
      </c>
      <c r="CN150" s="24">
        <v>4</v>
      </c>
      <c r="CO150" s="24">
        <v>4</v>
      </c>
      <c r="CP150" s="24">
        <v>5</v>
      </c>
      <c r="CQ150" s="24">
        <v>4</v>
      </c>
      <c r="CR150" s="24">
        <v>4</v>
      </c>
      <c r="CS150" s="24">
        <v>4</v>
      </c>
      <c r="CT150" s="24">
        <v>4</v>
      </c>
      <c r="CU150" s="24">
        <v>4</v>
      </c>
      <c r="CV150" s="24">
        <v>4</v>
      </c>
      <c r="CW150" s="24">
        <v>4</v>
      </c>
      <c r="CX150" s="24">
        <v>4</v>
      </c>
      <c r="CY150" s="24">
        <v>4</v>
      </c>
      <c r="CZ150" s="24">
        <v>4</v>
      </c>
      <c r="DA150" s="24">
        <v>4</v>
      </c>
      <c r="DB150" s="24" t="s">
        <v>1407</v>
      </c>
      <c r="DC150" s="24">
        <v>3</v>
      </c>
      <c r="DD150" s="24" t="s">
        <v>440</v>
      </c>
      <c r="DE150" s="24" t="s">
        <v>156</v>
      </c>
      <c r="DJ150" s="24" t="s">
        <v>603</v>
      </c>
      <c r="DK150" s="24" t="s">
        <v>137</v>
      </c>
    </row>
    <row r="151" spans="1:115" ht="22.5" customHeight="1" x14ac:dyDescent="0.2">
      <c r="A151" s="23">
        <v>46072.694286273152</v>
      </c>
      <c r="B151" s="24" t="s">
        <v>1408</v>
      </c>
      <c r="C151" s="24">
        <v>0</v>
      </c>
      <c r="D151" s="24" t="s">
        <v>1409</v>
      </c>
      <c r="E151" s="24" t="s">
        <v>1410</v>
      </c>
      <c r="F151" s="24" t="s">
        <v>163</v>
      </c>
      <c r="G151" s="24">
        <v>62</v>
      </c>
      <c r="H151" s="25" t="s">
        <v>1411</v>
      </c>
      <c r="I151" s="24" t="s">
        <v>194</v>
      </c>
      <c r="J151" s="24" t="s">
        <v>301</v>
      </c>
      <c r="K151" s="24" t="s">
        <v>135</v>
      </c>
      <c r="M151" s="24" t="s">
        <v>156</v>
      </c>
      <c r="N151" s="24" t="s">
        <v>215</v>
      </c>
      <c r="O151" s="24" t="s">
        <v>216</v>
      </c>
      <c r="P151" s="24" t="s">
        <v>156</v>
      </c>
      <c r="Q151" s="24" t="s">
        <v>215</v>
      </c>
      <c r="R151" s="24" t="s">
        <v>318</v>
      </c>
      <c r="S151" s="24" t="s">
        <v>266</v>
      </c>
      <c r="T151" s="24" t="s">
        <v>136</v>
      </c>
      <c r="U151" s="24" t="s">
        <v>356</v>
      </c>
      <c r="V151" s="24" t="s">
        <v>199</v>
      </c>
      <c r="AI151" s="24" t="s">
        <v>304</v>
      </c>
      <c r="AJ151" s="24" t="s">
        <v>136</v>
      </c>
      <c r="AK151" s="24" t="s">
        <v>136</v>
      </c>
      <c r="AL151" s="24" t="s">
        <v>136</v>
      </c>
      <c r="AM151" s="24" t="s">
        <v>156</v>
      </c>
      <c r="AN151" s="24" t="s">
        <v>136</v>
      </c>
      <c r="AO151" s="24" t="s">
        <v>136</v>
      </c>
      <c r="AP151" s="24" t="s">
        <v>156</v>
      </c>
      <c r="AQ151" s="24" t="s">
        <v>136</v>
      </c>
      <c r="BU151" s="24" t="s">
        <v>167</v>
      </c>
      <c r="BV151" s="24" t="s">
        <v>136</v>
      </c>
      <c r="BW151" s="24" t="s">
        <v>1412</v>
      </c>
      <c r="BY151" s="24" t="s">
        <v>420</v>
      </c>
      <c r="BZ151" s="24" t="s">
        <v>307</v>
      </c>
      <c r="CA151" s="24" t="s">
        <v>439</v>
      </c>
      <c r="CB151" s="24" t="s">
        <v>149</v>
      </c>
      <c r="CC151" s="24" t="s">
        <v>150</v>
      </c>
      <c r="CD151" s="24" t="s">
        <v>229</v>
      </c>
      <c r="CE151" s="24" t="s">
        <v>152</v>
      </c>
      <c r="CF151" s="24" t="s">
        <v>153</v>
      </c>
      <c r="CG151" s="24">
        <v>3</v>
      </c>
      <c r="CH151" s="24" t="s">
        <v>154</v>
      </c>
      <c r="CI151" s="24" t="s">
        <v>365</v>
      </c>
      <c r="CJ151" s="24" t="s">
        <v>136</v>
      </c>
      <c r="CK151" s="24" t="s">
        <v>430</v>
      </c>
      <c r="CL151" s="24">
        <v>3</v>
      </c>
      <c r="CM151" s="24">
        <v>2</v>
      </c>
      <c r="CN151" s="24">
        <v>4</v>
      </c>
      <c r="CO151" s="24">
        <v>3</v>
      </c>
      <c r="CP151" s="24">
        <v>4</v>
      </c>
      <c r="CQ151" s="24">
        <v>2</v>
      </c>
      <c r="CR151" s="24">
        <v>4</v>
      </c>
      <c r="CS151" s="24">
        <v>3</v>
      </c>
      <c r="CT151" s="24">
        <v>2</v>
      </c>
      <c r="CU151" s="24">
        <v>3</v>
      </c>
      <c r="CV151" s="24">
        <v>4</v>
      </c>
      <c r="CW151" s="24">
        <v>2</v>
      </c>
      <c r="CX151" s="24">
        <v>3</v>
      </c>
      <c r="CY151" s="24">
        <v>4</v>
      </c>
      <c r="CZ151" s="24">
        <v>2</v>
      </c>
      <c r="DA151" s="24">
        <v>2</v>
      </c>
      <c r="DB151" s="24" t="s">
        <v>1413</v>
      </c>
      <c r="DC151" s="24">
        <v>3</v>
      </c>
      <c r="DD151" s="24" t="s">
        <v>519</v>
      </c>
      <c r="DE151" s="24" t="s">
        <v>156</v>
      </c>
      <c r="DJ151" s="24" t="s">
        <v>291</v>
      </c>
      <c r="DK151" s="24" t="s">
        <v>137</v>
      </c>
    </row>
    <row r="152" spans="1:115" ht="22.5" customHeight="1" x14ac:dyDescent="0.2">
      <c r="A152" s="23">
        <v>46072.754049583338</v>
      </c>
      <c r="B152" s="24" t="s">
        <v>1414</v>
      </c>
      <c r="C152" s="24">
        <v>0</v>
      </c>
      <c r="D152" s="24" t="s">
        <v>1415</v>
      </c>
      <c r="E152" s="24" t="s">
        <v>1416</v>
      </c>
      <c r="F152" s="24" t="s">
        <v>128</v>
      </c>
      <c r="G152" s="24">
        <v>61</v>
      </c>
      <c r="H152" s="25" t="s">
        <v>1417</v>
      </c>
      <c r="I152" s="24" t="s">
        <v>275</v>
      </c>
      <c r="J152" s="24" t="s">
        <v>133</v>
      </c>
      <c r="K152" s="24" t="s">
        <v>135</v>
      </c>
      <c r="M152" s="24" t="s">
        <v>136</v>
      </c>
      <c r="N152" s="24" t="s">
        <v>425</v>
      </c>
      <c r="O152" s="24" t="s">
        <v>199</v>
      </c>
      <c r="P152" s="24" t="s">
        <v>136</v>
      </c>
      <c r="Q152" s="24" t="s">
        <v>254</v>
      </c>
      <c r="R152" s="24" t="s">
        <v>199</v>
      </c>
      <c r="S152" s="24" t="s">
        <v>266</v>
      </c>
      <c r="T152" s="24" t="s">
        <v>136</v>
      </c>
      <c r="U152" s="24" t="s">
        <v>202</v>
      </c>
      <c r="V152" s="24" t="s">
        <v>199</v>
      </c>
      <c r="AI152" s="24" t="s">
        <v>144</v>
      </c>
      <c r="AJ152" s="24" t="s">
        <v>136</v>
      </c>
      <c r="AK152" s="24" t="s">
        <v>136</v>
      </c>
      <c r="AL152" s="24" t="s">
        <v>156</v>
      </c>
      <c r="AM152" s="24" t="s">
        <v>156</v>
      </c>
      <c r="AN152" s="24" t="s">
        <v>156</v>
      </c>
      <c r="AO152" s="24" t="s">
        <v>156</v>
      </c>
      <c r="AP152" s="24" t="s">
        <v>136</v>
      </c>
      <c r="AQ152" s="24" t="s">
        <v>156</v>
      </c>
      <c r="BN152" s="24" t="s">
        <v>167</v>
      </c>
      <c r="BO152" s="24" t="s">
        <v>156</v>
      </c>
      <c r="BQ152" s="24" t="s">
        <v>1418</v>
      </c>
      <c r="BR152" s="24" t="s">
        <v>226</v>
      </c>
      <c r="BS152" s="24" t="s">
        <v>169</v>
      </c>
      <c r="BT152" s="24" t="s">
        <v>170</v>
      </c>
      <c r="CB152" s="24" t="s">
        <v>149</v>
      </c>
      <c r="CC152" s="24" t="s">
        <v>150</v>
      </c>
      <c r="CD152" s="24" t="s">
        <v>322</v>
      </c>
      <c r="CE152" s="24" t="s">
        <v>204</v>
      </c>
      <c r="CF152" s="24" t="s">
        <v>153</v>
      </c>
      <c r="CG152" s="24">
        <v>4</v>
      </c>
      <c r="CH152" s="24" t="s">
        <v>205</v>
      </c>
      <c r="CI152" s="24" t="s">
        <v>206</v>
      </c>
      <c r="CJ152" s="24" t="s">
        <v>136</v>
      </c>
      <c r="CK152" s="24" t="s">
        <v>207</v>
      </c>
      <c r="CL152" s="24">
        <v>2</v>
      </c>
      <c r="CM152" s="24">
        <v>2</v>
      </c>
      <c r="CN152" s="24">
        <v>2</v>
      </c>
      <c r="CO152" s="24">
        <v>4</v>
      </c>
      <c r="CP152" s="24">
        <v>2</v>
      </c>
      <c r="CQ152" s="24">
        <v>1</v>
      </c>
      <c r="CR152" s="24">
        <v>2</v>
      </c>
      <c r="CS152" s="24">
        <v>4</v>
      </c>
      <c r="CT152" s="24">
        <v>2</v>
      </c>
      <c r="CU152" s="24">
        <v>3</v>
      </c>
      <c r="CV152" s="24">
        <v>4</v>
      </c>
      <c r="CW152" s="24">
        <v>2</v>
      </c>
      <c r="CX152" s="24">
        <v>3</v>
      </c>
      <c r="CY152" s="24">
        <v>4</v>
      </c>
      <c r="CZ152" s="24">
        <v>3</v>
      </c>
      <c r="DA152" s="24">
        <v>2</v>
      </c>
      <c r="DB152" s="24" t="s">
        <v>342</v>
      </c>
      <c r="DC152" s="24">
        <v>4</v>
      </c>
      <c r="DD152" s="24" t="s">
        <v>157</v>
      </c>
      <c r="DE152" s="24" t="s">
        <v>156</v>
      </c>
      <c r="DJ152" s="24" t="s">
        <v>210</v>
      </c>
      <c r="DK152" s="24" t="s">
        <v>1419</v>
      </c>
    </row>
    <row r="153" spans="1:115" ht="22.5" customHeight="1" x14ac:dyDescent="0.2">
      <c r="A153" s="23">
        <v>46072.958480127316</v>
      </c>
      <c r="B153" s="24" t="s">
        <v>1420</v>
      </c>
      <c r="C153" s="24">
        <v>0</v>
      </c>
      <c r="D153" s="24" t="s">
        <v>1421</v>
      </c>
      <c r="E153" s="24" t="s">
        <v>1422</v>
      </c>
      <c r="F153" s="24" t="s">
        <v>163</v>
      </c>
      <c r="G153" s="24">
        <v>60</v>
      </c>
      <c r="H153" s="25" t="s">
        <v>1423</v>
      </c>
      <c r="I153" s="24" t="s">
        <v>194</v>
      </c>
      <c r="J153" s="24" t="s">
        <v>195</v>
      </c>
      <c r="K153" s="24" t="s">
        <v>196</v>
      </c>
      <c r="L153" s="24" t="s">
        <v>359</v>
      </c>
      <c r="M153" s="24" t="s">
        <v>136</v>
      </c>
      <c r="N153" s="24" t="s">
        <v>240</v>
      </c>
      <c r="O153" s="24" t="s">
        <v>355</v>
      </c>
      <c r="P153" s="24" t="s">
        <v>156</v>
      </c>
      <c r="Q153" s="24" t="s">
        <v>502</v>
      </c>
      <c r="R153" s="24" t="s">
        <v>217</v>
      </c>
      <c r="S153" s="24" t="s">
        <v>544</v>
      </c>
      <c r="T153" s="24" t="s">
        <v>136</v>
      </c>
      <c r="U153" s="24" t="s">
        <v>241</v>
      </c>
      <c r="V153" s="24" t="s">
        <v>985</v>
      </c>
      <c r="AI153" s="24" t="s">
        <v>144</v>
      </c>
      <c r="AJ153" s="24" t="s">
        <v>136</v>
      </c>
      <c r="AK153" s="24" t="s">
        <v>136</v>
      </c>
      <c r="AL153" s="24" t="s">
        <v>136</v>
      </c>
      <c r="AM153" s="24" t="s">
        <v>156</v>
      </c>
      <c r="AN153" s="24" t="s">
        <v>136</v>
      </c>
      <c r="AO153" s="24" t="s">
        <v>136</v>
      </c>
      <c r="AP153" s="24" t="s">
        <v>136</v>
      </c>
      <c r="AQ153" s="24" t="s">
        <v>136</v>
      </c>
      <c r="BN153" s="24" t="s">
        <v>346</v>
      </c>
      <c r="BO153" s="24" t="s">
        <v>156</v>
      </c>
      <c r="BP153" s="24" t="s">
        <v>137</v>
      </c>
      <c r="BQ153" s="24" t="s">
        <v>1424</v>
      </c>
      <c r="BR153" s="24" t="s">
        <v>168</v>
      </c>
      <c r="BS153" s="24" t="s">
        <v>147</v>
      </c>
      <c r="BT153" s="24" t="s">
        <v>170</v>
      </c>
      <c r="CB153" s="24" t="s">
        <v>149</v>
      </c>
      <c r="CC153" s="24" t="s">
        <v>150</v>
      </c>
      <c r="CD153" s="24" t="s">
        <v>151</v>
      </c>
      <c r="CE153" s="24" t="s">
        <v>152</v>
      </c>
      <c r="CF153" s="24" t="s">
        <v>153</v>
      </c>
      <c r="CG153" s="24">
        <v>3</v>
      </c>
      <c r="CH153" s="24" t="s">
        <v>286</v>
      </c>
      <c r="CI153" s="24" t="s">
        <v>278</v>
      </c>
      <c r="CJ153" s="24" t="s">
        <v>136</v>
      </c>
      <c r="CK153" s="24" t="s">
        <v>207</v>
      </c>
      <c r="CL153" s="24">
        <v>3</v>
      </c>
      <c r="CM153" s="24">
        <v>3</v>
      </c>
      <c r="CN153" s="24">
        <v>3</v>
      </c>
      <c r="CO153" s="24">
        <v>3</v>
      </c>
      <c r="CP153" s="24">
        <v>4</v>
      </c>
      <c r="CQ153" s="24">
        <v>3</v>
      </c>
      <c r="CR153" s="24">
        <v>3</v>
      </c>
      <c r="CS153" s="24">
        <v>3</v>
      </c>
      <c r="CT153" s="24">
        <v>3</v>
      </c>
      <c r="CU153" s="24">
        <v>3</v>
      </c>
      <c r="CV153" s="24">
        <v>3</v>
      </c>
      <c r="CW153" s="24">
        <v>3</v>
      </c>
      <c r="CX153" s="24">
        <v>3</v>
      </c>
      <c r="CY153" s="24">
        <v>3</v>
      </c>
      <c r="CZ153" s="24">
        <v>4</v>
      </c>
      <c r="DA153" s="24">
        <v>3</v>
      </c>
      <c r="DB153" s="24" t="s">
        <v>375</v>
      </c>
      <c r="DC153" s="24">
        <v>4</v>
      </c>
      <c r="DD153" s="24" t="s">
        <v>157</v>
      </c>
      <c r="DE153" s="24" t="s">
        <v>156</v>
      </c>
      <c r="DJ153" s="24" t="s">
        <v>442</v>
      </c>
      <c r="DK153" s="24" t="s">
        <v>137</v>
      </c>
    </row>
    <row r="154" spans="1:115" ht="22.5" customHeight="1" x14ac:dyDescent="0.2">
      <c r="A154" s="23">
        <v>46073.868508310188</v>
      </c>
      <c r="B154" s="24" t="s">
        <v>1425</v>
      </c>
      <c r="C154" s="24">
        <v>0</v>
      </c>
      <c r="D154" s="24" t="s">
        <v>1426</v>
      </c>
      <c r="E154" s="24" t="s">
        <v>1427</v>
      </c>
      <c r="F154" s="24" t="s">
        <v>128</v>
      </c>
      <c r="G154" s="24">
        <v>61</v>
      </c>
      <c r="H154" s="25" t="s">
        <v>1428</v>
      </c>
      <c r="I154" s="24" t="s">
        <v>194</v>
      </c>
      <c r="J154" s="24" t="s">
        <v>301</v>
      </c>
      <c r="K154" s="24" t="s">
        <v>302</v>
      </c>
      <c r="M154" s="24" t="s">
        <v>136</v>
      </c>
      <c r="N154" s="24" t="s">
        <v>240</v>
      </c>
      <c r="O154" s="24" t="s">
        <v>199</v>
      </c>
      <c r="P154" s="24" t="s">
        <v>156</v>
      </c>
      <c r="Q154" s="24" t="s">
        <v>215</v>
      </c>
      <c r="R154" s="24" t="s">
        <v>270</v>
      </c>
      <c r="S154" s="24" t="s">
        <v>313</v>
      </c>
      <c r="T154" s="24" t="s">
        <v>136</v>
      </c>
      <c r="U154" s="24" t="s">
        <v>356</v>
      </c>
      <c r="V154" s="24" t="s">
        <v>199</v>
      </c>
      <c r="AI154" s="24" t="s">
        <v>144</v>
      </c>
      <c r="AJ154" s="24" t="s">
        <v>136</v>
      </c>
      <c r="AK154" s="24" t="s">
        <v>136</v>
      </c>
      <c r="AL154" s="24" t="s">
        <v>136</v>
      </c>
      <c r="AM154" s="24" t="s">
        <v>136</v>
      </c>
      <c r="AN154" s="24" t="s">
        <v>136</v>
      </c>
      <c r="AO154" s="24" t="s">
        <v>136</v>
      </c>
      <c r="AP154" s="24" t="s">
        <v>156</v>
      </c>
      <c r="AQ154" s="24" t="s">
        <v>156</v>
      </c>
      <c r="BN154" s="24" t="s">
        <v>167</v>
      </c>
      <c r="BO154" s="24" t="s">
        <v>136</v>
      </c>
      <c r="BP154" s="24" t="s">
        <v>1429</v>
      </c>
      <c r="BR154" s="24" t="s">
        <v>271</v>
      </c>
      <c r="BS154" s="24" t="s">
        <v>518</v>
      </c>
      <c r="BT154" s="24" t="s">
        <v>340</v>
      </c>
      <c r="CB154" s="24" t="s">
        <v>228</v>
      </c>
      <c r="CC154" s="24" t="s">
        <v>150</v>
      </c>
      <c r="CD154" s="24" t="s">
        <v>229</v>
      </c>
      <c r="CE154" s="24" t="s">
        <v>152</v>
      </c>
      <c r="CF154" s="24" t="s">
        <v>153</v>
      </c>
      <c r="CG154" s="24">
        <v>4</v>
      </c>
      <c r="CH154" s="24" t="s">
        <v>172</v>
      </c>
      <c r="CI154" s="24" t="s">
        <v>287</v>
      </c>
      <c r="CJ154" s="24" t="s">
        <v>136</v>
      </c>
      <c r="CK154" s="24" t="s">
        <v>488</v>
      </c>
      <c r="CL154" s="24">
        <v>3</v>
      </c>
      <c r="CM154" s="24">
        <v>3</v>
      </c>
      <c r="CN154" s="24">
        <v>4</v>
      </c>
      <c r="CO154" s="24">
        <v>4</v>
      </c>
      <c r="CP154" s="24">
        <v>4</v>
      </c>
      <c r="CQ154" s="24">
        <v>2</v>
      </c>
      <c r="CR154" s="24">
        <v>3</v>
      </c>
      <c r="CS154" s="24">
        <v>4</v>
      </c>
      <c r="CT154" s="24">
        <v>3</v>
      </c>
      <c r="CU154" s="24">
        <v>3</v>
      </c>
      <c r="CV154" s="24">
        <v>4</v>
      </c>
      <c r="CW154" s="24">
        <v>2</v>
      </c>
      <c r="CX154" s="24">
        <v>3</v>
      </c>
      <c r="CY154" s="24">
        <v>4</v>
      </c>
      <c r="CZ154" s="24">
        <v>3</v>
      </c>
      <c r="DA154" s="24">
        <v>2</v>
      </c>
      <c r="DB154" s="24" t="s">
        <v>379</v>
      </c>
      <c r="DC154" s="24">
        <v>4</v>
      </c>
      <c r="DD154" s="24" t="s">
        <v>325</v>
      </c>
      <c r="DE154" s="24" t="s">
        <v>156</v>
      </c>
      <c r="DJ154" s="24" t="s">
        <v>210</v>
      </c>
      <c r="DK154" s="24" t="s">
        <v>137</v>
      </c>
    </row>
    <row r="155" spans="1:115" ht="22.5" customHeight="1" x14ac:dyDescent="0.2">
      <c r="A155" s="23">
        <v>46073.983139432872</v>
      </c>
      <c r="B155" s="24" t="s">
        <v>1430</v>
      </c>
      <c r="C155" s="24">
        <v>0</v>
      </c>
      <c r="D155" s="24" t="s">
        <v>1431</v>
      </c>
      <c r="E155" s="24" t="s">
        <v>1432</v>
      </c>
      <c r="F155" s="24" t="s">
        <v>128</v>
      </c>
      <c r="G155" s="24">
        <v>62</v>
      </c>
      <c r="H155" s="25" t="s">
        <v>1433</v>
      </c>
      <c r="I155" s="24" t="s">
        <v>194</v>
      </c>
      <c r="J155" s="24" t="s">
        <v>133</v>
      </c>
      <c r="K155" s="24" t="s">
        <v>302</v>
      </c>
      <c r="M155" s="24" t="s">
        <v>136</v>
      </c>
      <c r="N155" s="24" t="s">
        <v>240</v>
      </c>
      <c r="O155" s="24" t="s">
        <v>199</v>
      </c>
      <c r="P155" s="24" t="s">
        <v>156</v>
      </c>
      <c r="Q155" s="24" t="s">
        <v>215</v>
      </c>
      <c r="R155" s="24" t="s">
        <v>270</v>
      </c>
      <c r="S155" s="24" t="s">
        <v>255</v>
      </c>
      <c r="T155" s="24" t="s">
        <v>136</v>
      </c>
      <c r="U155" s="24" t="s">
        <v>202</v>
      </c>
      <c r="V155" s="24" t="s">
        <v>199</v>
      </c>
      <c r="AI155" s="24" t="s">
        <v>144</v>
      </c>
      <c r="AJ155" s="24" t="s">
        <v>136</v>
      </c>
      <c r="AK155" s="24" t="s">
        <v>136</v>
      </c>
      <c r="AL155" s="24" t="s">
        <v>136</v>
      </c>
      <c r="AM155" s="24" t="s">
        <v>136</v>
      </c>
      <c r="AN155" s="24" t="s">
        <v>156</v>
      </c>
      <c r="AO155" s="24" t="s">
        <v>156</v>
      </c>
      <c r="AP155" s="24" t="s">
        <v>136</v>
      </c>
      <c r="AQ155" s="24" t="s">
        <v>136</v>
      </c>
      <c r="BN155" s="24" t="s">
        <v>167</v>
      </c>
      <c r="BO155" s="24" t="s">
        <v>136</v>
      </c>
      <c r="BP155" s="24" t="s">
        <v>1434</v>
      </c>
      <c r="BR155" s="24" t="s">
        <v>271</v>
      </c>
      <c r="BS155" s="24" t="s">
        <v>169</v>
      </c>
      <c r="BT155" s="24" t="s">
        <v>340</v>
      </c>
      <c r="CB155" s="24" t="s">
        <v>267</v>
      </c>
      <c r="CC155" s="24" t="s">
        <v>150</v>
      </c>
      <c r="CD155" s="24" t="s">
        <v>171</v>
      </c>
      <c r="CE155" s="24" t="s">
        <v>152</v>
      </c>
      <c r="CF155" s="24" t="s">
        <v>153</v>
      </c>
      <c r="CG155" s="24">
        <v>4</v>
      </c>
      <c r="CH155" s="24" t="s">
        <v>154</v>
      </c>
      <c r="CI155" s="24" t="s">
        <v>398</v>
      </c>
      <c r="CJ155" s="24" t="s">
        <v>136</v>
      </c>
      <c r="CK155" s="24" t="s">
        <v>246</v>
      </c>
      <c r="CL155" s="24">
        <v>2</v>
      </c>
      <c r="CM155" s="24">
        <v>3</v>
      </c>
      <c r="CN155" s="24">
        <v>4</v>
      </c>
      <c r="CO155" s="24">
        <v>4</v>
      </c>
      <c r="CP155" s="24">
        <v>2</v>
      </c>
      <c r="CQ155" s="24">
        <v>2</v>
      </c>
      <c r="CR155" s="24">
        <v>2</v>
      </c>
      <c r="CS155" s="24">
        <v>4</v>
      </c>
      <c r="CT155" s="24">
        <v>3</v>
      </c>
      <c r="CU155" s="24">
        <v>3</v>
      </c>
      <c r="CV155" s="24">
        <v>4</v>
      </c>
      <c r="CW155" s="24">
        <v>2</v>
      </c>
      <c r="CX155" s="24">
        <v>3</v>
      </c>
      <c r="CY155" s="24">
        <v>3</v>
      </c>
      <c r="CZ155" s="24">
        <v>2</v>
      </c>
      <c r="DA155" s="24">
        <v>2</v>
      </c>
      <c r="DB155" s="24" t="s">
        <v>1258</v>
      </c>
      <c r="DC155" s="24">
        <v>2</v>
      </c>
      <c r="DD155" s="24" t="s">
        <v>281</v>
      </c>
      <c r="DE155" s="24" t="s">
        <v>156</v>
      </c>
      <c r="DJ155" s="24" t="s">
        <v>210</v>
      </c>
      <c r="DK155" s="24" t="s">
        <v>1435</v>
      </c>
    </row>
    <row r="156" spans="1:115" ht="22.5" customHeight="1" x14ac:dyDescent="0.2">
      <c r="A156" s="23">
        <v>46079.345070902782</v>
      </c>
      <c r="B156" s="24" t="s">
        <v>1436</v>
      </c>
      <c r="C156" s="24">
        <v>0</v>
      </c>
      <c r="D156" s="24" t="s">
        <v>1437</v>
      </c>
      <c r="E156" s="24" t="s">
        <v>1438</v>
      </c>
      <c r="F156" s="24" t="s">
        <v>128</v>
      </c>
      <c r="G156" s="24">
        <v>62</v>
      </c>
      <c r="H156" s="25" t="s">
        <v>1439</v>
      </c>
      <c r="I156" s="24" t="s">
        <v>132</v>
      </c>
      <c r="J156" s="24" t="s">
        <v>133</v>
      </c>
      <c r="K156" s="24" t="s">
        <v>135</v>
      </c>
      <c r="M156" s="24" t="s">
        <v>156</v>
      </c>
      <c r="N156" s="24" t="s">
        <v>276</v>
      </c>
      <c r="O156" s="24" t="s">
        <v>216</v>
      </c>
      <c r="P156" s="24" t="s">
        <v>156</v>
      </c>
      <c r="Q156" s="24" t="s">
        <v>254</v>
      </c>
      <c r="R156" s="24" t="s">
        <v>318</v>
      </c>
      <c r="S156" s="24" t="s">
        <v>218</v>
      </c>
      <c r="T156" s="24" t="s">
        <v>136</v>
      </c>
      <c r="U156" s="24" t="s">
        <v>256</v>
      </c>
      <c r="V156" s="24" t="s">
        <v>985</v>
      </c>
      <c r="AI156" s="24" t="s">
        <v>304</v>
      </c>
      <c r="AJ156" s="24" t="s">
        <v>156</v>
      </c>
      <c r="AK156" s="24" t="s">
        <v>136</v>
      </c>
      <c r="AL156" s="24" t="s">
        <v>136</v>
      </c>
      <c r="AM156" s="24" t="s">
        <v>136</v>
      </c>
      <c r="AN156" s="24" t="s">
        <v>136</v>
      </c>
      <c r="AO156" s="24" t="s">
        <v>136</v>
      </c>
      <c r="AP156" s="24" t="s">
        <v>136</v>
      </c>
      <c r="AQ156" s="24" t="s">
        <v>136</v>
      </c>
      <c r="BU156" s="24" t="s">
        <v>167</v>
      </c>
      <c r="BV156" s="24" t="s">
        <v>156</v>
      </c>
      <c r="BX156" s="24" t="s">
        <v>1440</v>
      </c>
      <c r="BY156" s="24" t="s">
        <v>420</v>
      </c>
      <c r="BZ156" s="24" t="s">
        <v>307</v>
      </c>
      <c r="CA156" s="24" t="s">
        <v>308</v>
      </c>
      <c r="CB156" s="24" t="s">
        <v>228</v>
      </c>
      <c r="CC156" s="24" t="s">
        <v>150</v>
      </c>
      <c r="CD156" s="24" t="s">
        <v>171</v>
      </c>
      <c r="CE156" s="24" t="s">
        <v>204</v>
      </c>
      <c r="CF156" s="24" t="s">
        <v>153</v>
      </c>
      <c r="CG156" s="24">
        <v>4</v>
      </c>
      <c r="CH156" s="24" t="s">
        <v>154</v>
      </c>
      <c r="CI156" s="24" t="s">
        <v>392</v>
      </c>
      <c r="CJ156" s="24" t="s">
        <v>136</v>
      </c>
      <c r="CK156" s="24" t="s">
        <v>231</v>
      </c>
      <c r="CL156" s="24">
        <v>2</v>
      </c>
      <c r="CM156" s="24">
        <v>2</v>
      </c>
      <c r="CN156" s="24">
        <v>3</v>
      </c>
      <c r="CO156" s="24">
        <v>3</v>
      </c>
      <c r="CP156" s="24">
        <v>3</v>
      </c>
      <c r="CQ156" s="24">
        <v>2</v>
      </c>
      <c r="CR156" s="24">
        <v>2</v>
      </c>
      <c r="CS156" s="24">
        <v>3</v>
      </c>
      <c r="CT156" s="24">
        <v>3</v>
      </c>
      <c r="CU156" s="24">
        <v>2</v>
      </c>
      <c r="CV156" s="24">
        <v>2</v>
      </c>
      <c r="CW156" s="24">
        <v>3</v>
      </c>
      <c r="CX156" s="24">
        <v>2</v>
      </c>
      <c r="CY156" s="24">
        <v>2</v>
      </c>
      <c r="CZ156" s="24">
        <v>2</v>
      </c>
      <c r="DA156" s="24">
        <v>2</v>
      </c>
      <c r="DB156" s="24" t="s">
        <v>383</v>
      </c>
      <c r="DC156" s="24">
        <v>4</v>
      </c>
      <c r="DD156" s="24" t="s">
        <v>1441</v>
      </c>
      <c r="DE156" s="24" t="s">
        <v>156</v>
      </c>
      <c r="DJ156" s="24" t="s">
        <v>188</v>
      </c>
      <c r="DK156" s="24" t="s">
        <v>1442</v>
      </c>
    </row>
    <row r="157" spans="1:115" ht="22.5" customHeight="1" x14ac:dyDescent="0.2">
      <c r="A157" s="23">
        <v>46079.37754429398</v>
      </c>
      <c r="B157" s="24" t="s">
        <v>1443</v>
      </c>
      <c r="C157" s="24">
        <v>0</v>
      </c>
      <c r="D157" s="24" t="s">
        <v>1444</v>
      </c>
      <c r="E157" s="24" t="s">
        <v>1445</v>
      </c>
      <c r="F157" s="24" t="s">
        <v>163</v>
      </c>
      <c r="G157" s="24">
        <v>60</v>
      </c>
      <c r="H157" s="25" t="s">
        <v>1446</v>
      </c>
      <c r="I157" s="24" t="s">
        <v>132</v>
      </c>
      <c r="J157" s="24" t="s">
        <v>133</v>
      </c>
      <c r="K157" s="24" t="s">
        <v>317</v>
      </c>
      <c r="M157" s="24" t="s">
        <v>136</v>
      </c>
      <c r="N157" s="24" t="s">
        <v>240</v>
      </c>
      <c r="O157" s="24" t="s">
        <v>199</v>
      </c>
      <c r="P157" s="24" t="s">
        <v>136</v>
      </c>
      <c r="Q157" s="24" t="s">
        <v>502</v>
      </c>
      <c r="R157" s="24" t="s">
        <v>199</v>
      </c>
      <c r="S157" s="24" t="s">
        <v>313</v>
      </c>
      <c r="T157" s="24" t="s">
        <v>136</v>
      </c>
      <c r="U157" s="24" t="s">
        <v>356</v>
      </c>
      <c r="V157" s="24" t="s">
        <v>199</v>
      </c>
      <c r="AI157" s="24" t="s">
        <v>319</v>
      </c>
      <c r="AJ157" s="24" t="s">
        <v>136</v>
      </c>
      <c r="AK157" s="24" t="s">
        <v>136</v>
      </c>
      <c r="AL157" s="24" t="s">
        <v>136</v>
      </c>
      <c r="AM157" s="24" t="s">
        <v>136</v>
      </c>
      <c r="AN157" s="24" t="s">
        <v>156</v>
      </c>
      <c r="AO157" s="24" t="s">
        <v>156</v>
      </c>
      <c r="AP157" s="24" t="s">
        <v>136</v>
      </c>
      <c r="AQ157" s="24" t="s">
        <v>156</v>
      </c>
      <c r="AY157" s="24" t="s">
        <v>305</v>
      </c>
      <c r="AZ157" s="24" t="s">
        <v>136</v>
      </c>
      <c r="BA157" s="24" t="s">
        <v>1447</v>
      </c>
      <c r="BC157" s="24" t="s">
        <v>444</v>
      </c>
      <c r="BD157" s="24" t="s">
        <v>372</v>
      </c>
      <c r="BE157" s="24" t="s">
        <v>1448</v>
      </c>
      <c r="CB157" s="24" t="s">
        <v>149</v>
      </c>
      <c r="CC157" s="24" t="s">
        <v>150</v>
      </c>
      <c r="CD157" s="24" t="s">
        <v>151</v>
      </c>
      <c r="CE157" s="24" t="s">
        <v>204</v>
      </c>
      <c r="CF157" s="24" t="s">
        <v>153</v>
      </c>
      <c r="CG157" s="24">
        <v>4</v>
      </c>
      <c r="CH157" s="24" t="s">
        <v>244</v>
      </c>
      <c r="CI157" s="24" t="s">
        <v>287</v>
      </c>
      <c r="CJ157" s="24" t="s">
        <v>136</v>
      </c>
      <c r="CK157" s="24" t="s">
        <v>512</v>
      </c>
      <c r="CL157" s="24">
        <v>4</v>
      </c>
      <c r="CM157" s="24">
        <v>4</v>
      </c>
      <c r="CN157" s="24">
        <v>4</v>
      </c>
      <c r="CO157" s="24">
        <v>4</v>
      </c>
      <c r="CP157" s="24">
        <v>5</v>
      </c>
      <c r="CQ157" s="24">
        <v>4</v>
      </c>
      <c r="CR157" s="24">
        <v>4</v>
      </c>
      <c r="CS157" s="24">
        <v>4</v>
      </c>
      <c r="CT157" s="24">
        <v>2</v>
      </c>
      <c r="CU157" s="24">
        <v>2</v>
      </c>
      <c r="CV157" s="24">
        <v>2</v>
      </c>
      <c r="CW157" s="24">
        <v>4</v>
      </c>
      <c r="CX157" s="24">
        <v>4</v>
      </c>
      <c r="CY157" s="24">
        <v>4</v>
      </c>
      <c r="CZ157" s="24">
        <v>4</v>
      </c>
      <c r="DA157" s="24">
        <v>2</v>
      </c>
      <c r="DB157" s="24" t="s">
        <v>310</v>
      </c>
      <c r="DC157" s="24">
        <v>4</v>
      </c>
      <c r="DD157" s="24" t="s">
        <v>363</v>
      </c>
      <c r="DE157" s="24" t="s">
        <v>136</v>
      </c>
      <c r="DF157" s="24">
        <v>4</v>
      </c>
      <c r="DG157" s="24">
        <v>4</v>
      </c>
      <c r="DH157" s="24">
        <v>4</v>
      </c>
      <c r="DI157" s="24" t="s">
        <v>1449</v>
      </c>
      <c r="DJ157" s="24" t="s">
        <v>159</v>
      </c>
      <c r="DK157" s="24" t="s">
        <v>1336</v>
      </c>
    </row>
    <row r="158" spans="1:115" ht="22.5" customHeight="1" x14ac:dyDescent="0.2">
      <c r="A158" s="23">
        <v>46079.395470000003</v>
      </c>
      <c r="B158" s="24" t="s">
        <v>1450</v>
      </c>
      <c r="C158" s="24">
        <v>0</v>
      </c>
      <c r="D158" s="24" t="s">
        <v>1451</v>
      </c>
      <c r="E158" s="24" t="s">
        <v>1452</v>
      </c>
      <c r="F158" s="24" t="s">
        <v>163</v>
      </c>
      <c r="G158" s="24">
        <v>60</v>
      </c>
      <c r="H158" s="25" t="s">
        <v>1453</v>
      </c>
      <c r="I158" s="24" t="s">
        <v>194</v>
      </c>
      <c r="J158" s="24" t="s">
        <v>133</v>
      </c>
      <c r="K158" s="24" t="s">
        <v>135</v>
      </c>
      <c r="M158" s="24" t="s">
        <v>156</v>
      </c>
      <c r="N158" s="24" t="s">
        <v>215</v>
      </c>
      <c r="O158" s="24" t="s">
        <v>551</v>
      </c>
      <c r="P158" s="24" t="s">
        <v>156</v>
      </c>
      <c r="Q158" s="24" t="s">
        <v>215</v>
      </c>
      <c r="R158" s="24" t="s">
        <v>270</v>
      </c>
      <c r="S158" s="24" t="s">
        <v>266</v>
      </c>
      <c r="T158" s="24" t="s">
        <v>136</v>
      </c>
      <c r="U158" s="24" t="s">
        <v>356</v>
      </c>
      <c r="V158" s="24" t="s">
        <v>199</v>
      </c>
      <c r="AI158" s="24" t="s">
        <v>144</v>
      </c>
      <c r="AJ158" s="24" t="s">
        <v>136</v>
      </c>
      <c r="AK158" s="24" t="s">
        <v>136</v>
      </c>
      <c r="AL158" s="24" t="s">
        <v>136</v>
      </c>
      <c r="AM158" s="24" t="s">
        <v>136</v>
      </c>
      <c r="AN158" s="24" t="s">
        <v>136</v>
      </c>
      <c r="AO158" s="24" t="s">
        <v>136</v>
      </c>
      <c r="AP158" s="24" t="s">
        <v>136</v>
      </c>
      <c r="AQ158" s="24" t="s">
        <v>156</v>
      </c>
      <c r="BN158" s="24" t="s">
        <v>167</v>
      </c>
      <c r="BO158" s="24" t="s">
        <v>136</v>
      </c>
      <c r="BP158" s="24" t="s">
        <v>1454</v>
      </c>
      <c r="BR158" s="24" t="s">
        <v>146</v>
      </c>
      <c r="BS158" s="24" t="s">
        <v>169</v>
      </c>
      <c r="BT158" s="24" t="s">
        <v>227</v>
      </c>
      <c r="CB158" s="24" t="s">
        <v>149</v>
      </c>
      <c r="CC158" s="24" t="s">
        <v>150</v>
      </c>
      <c r="CD158" s="24" t="s">
        <v>151</v>
      </c>
      <c r="CE158" s="24" t="s">
        <v>152</v>
      </c>
      <c r="CF158" s="24" t="s">
        <v>243</v>
      </c>
      <c r="CG158" s="24">
        <v>4</v>
      </c>
      <c r="CH158" s="24" t="s">
        <v>481</v>
      </c>
      <c r="CI158" s="24" t="s">
        <v>324</v>
      </c>
      <c r="CJ158" s="24" t="s">
        <v>136</v>
      </c>
      <c r="CK158" s="24" t="s">
        <v>246</v>
      </c>
      <c r="CL158" s="24">
        <v>4</v>
      </c>
      <c r="CM158" s="24">
        <v>4</v>
      </c>
      <c r="CN158" s="24">
        <v>4</v>
      </c>
      <c r="CO158" s="24">
        <v>4</v>
      </c>
      <c r="CP158" s="24">
        <v>5</v>
      </c>
      <c r="CQ158" s="24">
        <v>2</v>
      </c>
      <c r="CR158" s="24">
        <v>4</v>
      </c>
      <c r="CS158" s="24">
        <v>4</v>
      </c>
      <c r="CT158" s="24">
        <v>4</v>
      </c>
      <c r="CU158" s="24">
        <v>4</v>
      </c>
      <c r="CV158" s="24">
        <v>4</v>
      </c>
      <c r="CW158" s="24">
        <v>4</v>
      </c>
      <c r="CX158" s="24">
        <v>4</v>
      </c>
      <c r="CY158" s="24">
        <v>4</v>
      </c>
      <c r="CZ158" s="24">
        <v>4</v>
      </c>
      <c r="DA158" s="24">
        <v>3</v>
      </c>
      <c r="DB158" s="24" t="s">
        <v>399</v>
      </c>
      <c r="DC158" s="24">
        <v>4</v>
      </c>
      <c r="DD158" s="24" t="s">
        <v>1455</v>
      </c>
      <c r="DE158" s="24" t="s">
        <v>136</v>
      </c>
      <c r="DF158" s="24">
        <v>4</v>
      </c>
      <c r="DG158" s="24">
        <v>4</v>
      </c>
      <c r="DH158" s="24">
        <v>4</v>
      </c>
      <c r="DI158" s="24" t="s">
        <v>859</v>
      </c>
      <c r="DJ158" s="24" t="s">
        <v>210</v>
      </c>
      <c r="DK158" s="24" t="s">
        <v>137</v>
      </c>
    </row>
    <row r="159" spans="1:115" ht="22.5" customHeight="1" x14ac:dyDescent="0.2">
      <c r="A159" s="23">
        <v>46079.408151493059</v>
      </c>
      <c r="B159" s="24" t="s">
        <v>348</v>
      </c>
      <c r="C159" s="24">
        <v>0</v>
      </c>
      <c r="D159" s="24" t="s">
        <v>1456</v>
      </c>
      <c r="E159" s="24" t="s">
        <v>349</v>
      </c>
      <c r="F159" s="24" t="s">
        <v>163</v>
      </c>
      <c r="G159" s="24">
        <v>61</v>
      </c>
      <c r="H159" s="25" t="s">
        <v>350</v>
      </c>
      <c r="I159" s="24" t="s">
        <v>275</v>
      </c>
      <c r="J159" s="24" t="s">
        <v>301</v>
      </c>
      <c r="K159" s="24" t="s">
        <v>317</v>
      </c>
      <c r="M159" s="24" t="s">
        <v>136</v>
      </c>
      <c r="N159" s="24" t="s">
        <v>264</v>
      </c>
      <c r="O159" s="24" t="s">
        <v>199</v>
      </c>
      <c r="P159" s="24" t="s">
        <v>136</v>
      </c>
      <c r="Q159" s="24" t="s">
        <v>215</v>
      </c>
      <c r="R159" s="24" t="s">
        <v>270</v>
      </c>
      <c r="S159" s="24" t="s">
        <v>255</v>
      </c>
      <c r="T159" s="24" t="s">
        <v>136</v>
      </c>
      <c r="U159" s="24" t="s">
        <v>256</v>
      </c>
      <c r="V159" s="24" t="s">
        <v>199</v>
      </c>
      <c r="AI159" s="24" t="s">
        <v>319</v>
      </c>
      <c r="AJ159" s="24" t="s">
        <v>136</v>
      </c>
      <c r="AK159" s="24" t="s">
        <v>136</v>
      </c>
      <c r="AL159" s="24" t="s">
        <v>136</v>
      </c>
      <c r="AM159" s="24" t="s">
        <v>136</v>
      </c>
      <c r="AN159" s="24" t="s">
        <v>136</v>
      </c>
      <c r="AO159" s="24" t="s">
        <v>156</v>
      </c>
      <c r="AP159" s="24" t="s">
        <v>136</v>
      </c>
      <c r="AQ159" s="24" t="s">
        <v>156</v>
      </c>
      <c r="AY159" s="24" t="s">
        <v>305</v>
      </c>
      <c r="AZ159" s="24" t="s">
        <v>136</v>
      </c>
      <c r="BC159" s="24" t="s">
        <v>409</v>
      </c>
      <c r="BD159" s="24" t="s">
        <v>321</v>
      </c>
      <c r="BE159" s="24" t="s">
        <v>394</v>
      </c>
      <c r="CB159" s="24" t="s">
        <v>149</v>
      </c>
      <c r="CC159" s="24" t="s">
        <v>150</v>
      </c>
      <c r="CD159" s="24" t="s">
        <v>322</v>
      </c>
      <c r="CE159" s="24" t="s">
        <v>152</v>
      </c>
      <c r="CF159" s="24" t="s">
        <v>153</v>
      </c>
      <c r="CG159" s="24">
        <v>4</v>
      </c>
      <c r="CH159" s="24" t="s">
        <v>286</v>
      </c>
      <c r="CI159" s="24" t="s">
        <v>623</v>
      </c>
      <c r="CJ159" s="24" t="s">
        <v>136</v>
      </c>
      <c r="CK159" s="24" t="s">
        <v>512</v>
      </c>
      <c r="CL159" s="24">
        <v>2</v>
      </c>
      <c r="CM159" s="24">
        <v>3</v>
      </c>
      <c r="CN159" s="24">
        <v>3</v>
      </c>
      <c r="CO159" s="24">
        <v>3</v>
      </c>
      <c r="CP159" s="24">
        <v>3</v>
      </c>
      <c r="CQ159" s="24">
        <v>2</v>
      </c>
      <c r="CR159" s="24">
        <v>2</v>
      </c>
      <c r="CS159" s="24">
        <v>2</v>
      </c>
      <c r="CT159" s="24">
        <v>2</v>
      </c>
      <c r="CU159" s="24">
        <v>3</v>
      </c>
      <c r="CV159" s="24">
        <v>4</v>
      </c>
      <c r="CW159" s="24">
        <v>4</v>
      </c>
      <c r="CX159" s="24">
        <v>3</v>
      </c>
      <c r="CY159" s="24">
        <v>3</v>
      </c>
      <c r="CZ159" s="24">
        <v>3</v>
      </c>
      <c r="DA159" s="24">
        <v>2</v>
      </c>
      <c r="DB159" s="24" t="s">
        <v>288</v>
      </c>
      <c r="DC159" s="24">
        <v>4</v>
      </c>
      <c r="DD159" s="24" t="s">
        <v>248</v>
      </c>
      <c r="DE159" s="24" t="s">
        <v>156</v>
      </c>
      <c r="DJ159" s="24" t="s">
        <v>210</v>
      </c>
      <c r="DK159" s="24" t="s">
        <v>137</v>
      </c>
    </row>
    <row r="160" spans="1:115" ht="22.5" customHeight="1" x14ac:dyDescent="0.2">
      <c r="A160" s="23">
        <v>46079.424402581019</v>
      </c>
      <c r="B160" s="24" t="s">
        <v>1457</v>
      </c>
      <c r="C160" s="24">
        <v>0</v>
      </c>
      <c r="D160" s="24" t="s">
        <v>1458</v>
      </c>
      <c r="E160" s="24" t="s">
        <v>1459</v>
      </c>
      <c r="F160" s="24" t="s">
        <v>163</v>
      </c>
      <c r="G160" s="24">
        <v>61</v>
      </c>
      <c r="H160" s="25" t="s">
        <v>1460</v>
      </c>
      <c r="I160" s="24" t="s">
        <v>194</v>
      </c>
      <c r="J160" s="24" t="s">
        <v>301</v>
      </c>
      <c r="K160" s="24" t="s">
        <v>345</v>
      </c>
      <c r="M160" s="24" t="s">
        <v>156</v>
      </c>
      <c r="N160" s="24" t="s">
        <v>215</v>
      </c>
      <c r="O160" s="24" t="s">
        <v>216</v>
      </c>
      <c r="P160" s="24" t="s">
        <v>136</v>
      </c>
      <c r="Q160" s="24" t="s">
        <v>502</v>
      </c>
      <c r="R160" s="24" t="s">
        <v>199</v>
      </c>
      <c r="S160" s="24" t="s">
        <v>266</v>
      </c>
      <c r="T160" s="24" t="s">
        <v>136</v>
      </c>
      <c r="U160" s="24" t="s">
        <v>693</v>
      </c>
      <c r="V160" s="24" t="s">
        <v>199</v>
      </c>
      <c r="AI160" s="24" t="s">
        <v>219</v>
      </c>
      <c r="AJ160" s="24" t="s">
        <v>156</v>
      </c>
      <c r="AK160" s="24" t="s">
        <v>136</v>
      </c>
      <c r="AL160" s="24" t="s">
        <v>136</v>
      </c>
      <c r="AM160" s="24" t="s">
        <v>156</v>
      </c>
      <c r="AN160" s="24" t="s">
        <v>136</v>
      </c>
      <c r="AO160" s="24" t="s">
        <v>136</v>
      </c>
      <c r="AP160" s="24" t="s">
        <v>136</v>
      </c>
      <c r="AQ160" s="24" t="s">
        <v>136</v>
      </c>
      <c r="BF160" s="24" t="s">
        <v>305</v>
      </c>
      <c r="BG160" s="24" t="s">
        <v>136</v>
      </c>
      <c r="BJ160" s="24" t="s">
        <v>156</v>
      </c>
      <c r="BK160" s="24" t="s">
        <v>396</v>
      </c>
      <c r="BL160" s="24" t="s">
        <v>386</v>
      </c>
      <c r="BM160" s="24" t="s">
        <v>223</v>
      </c>
      <c r="BN160" s="24" t="s">
        <v>305</v>
      </c>
      <c r="BO160" s="24" t="s">
        <v>156</v>
      </c>
      <c r="BR160" s="24" t="s">
        <v>146</v>
      </c>
      <c r="BS160" s="24" t="s">
        <v>169</v>
      </c>
      <c r="BT160" s="24" t="s">
        <v>170</v>
      </c>
      <c r="CB160" s="24" t="s">
        <v>149</v>
      </c>
      <c r="CC160" s="24" t="s">
        <v>242</v>
      </c>
      <c r="CD160" s="24" t="s">
        <v>229</v>
      </c>
      <c r="CE160" s="24" t="s">
        <v>204</v>
      </c>
      <c r="CF160" s="24" t="s">
        <v>243</v>
      </c>
      <c r="CG160" s="24">
        <v>4</v>
      </c>
      <c r="CH160" s="24" t="s">
        <v>154</v>
      </c>
      <c r="CI160" s="24" t="s">
        <v>259</v>
      </c>
      <c r="CJ160" s="24" t="s">
        <v>136</v>
      </c>
      <c r="CK160" s="24" t="s">
        <v>328</v>
      </c>
      <c r="CL160" s="24">
        <v>4</v>
      </c>
      <c r="CM160" s="24">
        <v>4</v>
      </c>
      <c r="CN160" s="24">
        <v>4</v>
      </c>
      <c r="CO160" s="24">
        <v>4</v>
      </c>
      <c r="CP160" s="24">
        <v>3</v>
      </c>
      <c r="CQ160" s="24">
        <v>2</v>
      </c>
      <c r="CR160" s="24">
        <v>3</v>
      </c>
      <c r="CS160" s="24">
        <v>4</v>
      </c>
      <c r="CT160" s="24">
        <v>2</v>
      </c>
      <c r="CU160" s="24">
        <v>3</v>
      </c>
      <c r="CV160" s="24">
        <v>4</v>
      </c>
      <c r="CW160" s="24">
        <v>4</v>
      </c>
      <c r="CX160" s="24">
        <v>4</v>
      </c>
      <c r="CY160" s="24">
        <v>4</v>
      </c>
      <c r="CZ160" s="24">
        <v>2</v>
      </c>
      <c r="DA160" s="24">
        <v>4</v>
      </c>
      <c r="DB160" s="24" t="s">
        <v>375</v>
      </c>
      <c r="DC160" s="24">
        <v>4</v>
      </c>
      <c r="DD160" s="24" t="s">
        <v>281</v>
      </c>
      <c r="DE160" s="24" t="s">
        <v>136</v>
      </c>
      <c r="DF160" s="24">
        <v>4</v>
      </c>
      <c r="DG160" s="24">
        <v>4</v>
      </c>
      <c r="DH160" s="24">
        <v>4</v>
      </c>
      <c r="DI160" s="24" t="s">
        <v>1461</v>
      </c>
      <c r="DJ160" s="24" t="s">
        <v>188</v>
      </c>
      <c r="DK160" s="24" t="s">
        <v>745</v>
      </c>
    </row>
    <row r="161" spans="1:115" ht="22.5" customHeight="1" x14ac:dyDescent="0.2">
      <c r="A161" s="23">
        <v>46079.446360868053</v>
      </c>
      <c r="B161" s="24" t="s">
        <v>1462</v>
      </c>
      <c r="C161" s="24">
        <v>0</v>
      </c>
      <c r="D161" s="24" t="s">
        <v>1463</v>
      </c>
      <c r="E161" s="24" t="s">
        <v>1464</v>
      </c>
      <c r="F161" s="24" t="s">
        <v>163</v>
      </c>
      <c r="G161" s="24">
        <v>61</v>
      </c>
      <c r="H161" s="25" t="s">
        <v>1465</v>
      </c>
      <c r="I161" s="24" t="s">
        <v>132</v>
      </c>
      <c r="J161" s="24" t="s">
        <v>301</v>
      </c>
      <c r="K161" s="24" t="s">
        <v>302</v>
      </c>
      <c r="M161" s="24" t="s">
        <v>156</v>
      </c>
      <c r="N161" s="24" t="s">
        <v>215</v>
      </c>
      <c r="O161" s="24" t="s">
        <v>355</v>
      </c>
      <c r="P161" s="24" t="s">
        <v>156</v>
      </c>
      <c r="Q161" s="24" t="s">
        <v>215</v>
      </c>
      <c r="R161" s="24" t="s">
        <v>382</v>
      </c>
      <c r="S161" s="24" t="s">
        <v>544</v>
      </c>
      <c r="T161" s="24" t="s">
        <v>136</v>
      </c>
      <c r="U161" s="24" t="s">
        <v>693</v>
      </c>
      <c r="V161" s="24" t="s">
        <v>199</v>
      </c>
      <c r="AI161" s="24" t="s">
        <v>144</v>
      </c>
      <c r="AJ161" s="24" t="s">
        <v>136</v>
      </c>
      <c r="AK161" s="24" t="s">
        <v>136</v>
      </c>
      <c r="AL161" s="24" t="s">
        <v>136</v>
      </c>
      <c r="AM161" s="24" t="s">
        <v>136</v>
      </c>
      <c r="AN161" s="24" t="s">
        <v>136</v>
      </c>
      <c r="AO161" s="24" t="s">
        <v>136</v>
      </c>
      <c r="AP161" s="24" t="s">
        <v>136</v>
      </c>
      <c r="AQ161" s="24" t="s">
        <v>136</v>
      </c>
      <c r="BN161" s="24" t="s">
        <v>167</v>
      </c>
      <c r="BO161" s="24" t="s">
        <v>136</v>
      </c>
      <c r="BP161" s="24" t="s">
        <v>1466</v>
      </c>
      <c r="BR161" s="24" t="s">
        <v>168</v>
      </c>
      <c r="BS161" s="24" t="s">
        <v>169</v>
      </c>
      <c r="BT161" s="24" t="s">
        <v>227</v>
      </c>
      <c r="CB161" s="24" t="s">
        <v>149</v>
      </c>
      <c r="CC161" s="24" t="s">
        <v>150</v>
      </c>
      <c r="CD161" s="24" t="s">
        <v>171</v>
      </c>
      <c r="CE161" s="24" t="s">
        <v>204</v>
      </c>
      <c r="CF161" s="24" t="s">
        <v>153</v>
      </c>
      <c r="CG161" s="24">
        <v>4</v>
      </c>
      <c r="CH161" s="24" t="s">
        <v>244</v>
      </c>
      <c r="CI161" s="24" t="s">
        <v>206</v>
      </c>
      <c r="CJ161" s="24" t="s">
        <v>136</v>
      </c>
      <c r="CK161" s="24" t="s">
        <v>231</v>
      </c>
      <c r="CL161" s="24">
        <v>3</v>
      </c>
      <c r="CM161" s="24">
        <v>3</v>
      </c>
      <c r="CN161" s="24">
        <v>3</v>
      </c>
      <c r="CO161" s="24">
        <v>3</v>
      </c>
      <c r="CP161" s="24">
        <v>4</v>
      </c>
      <c r="CQ161" s="24">
        <v>3</v>
      </c>
      <c r="CR161" s="24">
        <v>3</v>
      </c>
      <c r="CS161" s="24">
        <v>3</v>
      </c>
      <c r="CT161" s="24">
        <v>3</v>
      </c>
      <c r="CU161" s="24">
        <v>3</v>
      </c>
      <c r="CV161" s="24">
        <v>3</v>
      </c>
      <c r="CW161" s="24">
        <v>3</v>
      </c>
      <c r="CX161" s="24">
        <v>3</v>
      </c>
      <c r="CY161" s="24">
        <v>3</v>
      </c>
      <c r="CZ161" s="24">
        <v>3</v>
      </c>
      <c r="DA161" s="24">
        <v>3</v>
      </c>
      <c r="DB161" s="24" t="s">
        <v>247</v>
      </c>
      <c r="DC161" s="24">
        <v>4</v>
      </c>
      <c r="DD161" s="24" t="s">
        <v>311</v>
      </c>
      <c r="DE161" s="24" t="s">
        <v>156</v>
      </c>
      <c r="DJ161" s="24" t="s">
        <v>210</v>
      </c>
      <c r="DK161" s="24" t="s">
        <v>137</v>
      </c>
    </row>
    <row r="162" spans="1:115" ht="22.5" customHeight="1" x14ac:dyDescent="0.2">
      <c r="A162" s="23">
        <v>46079.450984120369</v>
      </c>
      <c r="B162" s="24" t="s">
        <v>1331</v>
      </c>
      <c r="C162" s="24">
        <v>0</v>
      </c>
      <c r="D162" s="24" t="s">
        <v>1332</v>
      </c>
      <c r="E162" s="24" t="s">
        <v>1333</v>
      </c>
      <c r="F162" s="24" t="s">
        <v>163</v>
      </c>
      <c r="G162" s="24">
        <v>61</v>
      </c>
      <c r="H162" s="25" t="s">
        <v>1334</v>
      </c>
      <c r="I162" s="24" t="s">
        <v>194</v>
      </c>
      <c r="J162" s="24" t="s">
        <v>384</v>
      </c>
      <c r="K162" s="24" t="s">
        <v>302</v>
      </c>
      <c r="M162" s="24" t="s">
        <v>136</v>
      </c>
      <c r="N162" s="24" t="s">
        <v>240</v>
      </c>
      <c r="O162" s="24" t="s">
        <v>199</v>
      </c>
      <c r="P162" s="24" t="s">
        <v>136</v>
      </c>
      <c r="Q162" s="24" t="s">
        <v>293</v>
      </c>
      <c r="R162" s="24" t="s">
        <v>199</v>
      </c>
      <c r="S162" s="24" t="s">
        <v>266</v>
      </c>
      <c r="T162" s="24" t="s">
        <v>136</v>
      </c>
      <c r="U162" s="24" t="s">
        <v>202</v>
      </c>
      <c r="V162" s="24" t="s">
        <v>199</v>
      </c>
      <c r="AI162" s="24" t="s">
        <v>144</v>
      </c>
      <c r="AJ162" s="24" t="s">
        <v>136</v>
      </c>
      <c r="AK162" s="24" t="s">
        <v>136</v>
      </c>
      <c r="AL162" s="24" t="s">
        <v>136</v>
      </c>
      <c r="AM162" s="24" t="s">
        <v>136</v>
      </c>
      <c r="AN162" s="24" t="s">
        <v>156</v>
      </c>
      <c r="AO162" s="24" t="s">
        <v>136</v>
      </c>
      <c r="AP162" s="24" t="s">
        <v>136</v>
      </c>
      <c r="AQ162" s="24" t="s">
        <v>156</v>
      </c>
      <c r="BN162" s="24" t="s">
        <v>346</v>
      </c>
      <c r="BO162" s="24" t="s">
        <v>156</v>
      </c>
      <c r="BP162" s="24" t="s">
        <v>1467</v>
      </c>
      <c r="BR162" s="24" t="s">
        <v>168</v>
      </c>
      <c r="BS162" s="24" t="s">
        <v>169</v>
      </c>
      <c r="BT162" s="24" t="s">
        <v>170</v>
      </c>
      <c r="CB162" s="24" t="s">
        <v>149</v>
      </c>
      <c r="CC162" s="24" t="s">
        <v>150</v>
      </c>
      <c r="CD162" s="24" t="s">
        <v>171</v>
      </c>
      <c r="CE162" s="24" t="s">
        <v>152</v>
      </c>
      <c r="CF162" s="24" t="s">
        <v>153</v>
      </c>
      <c r="CG162" s="24">
        <v>4</v>
      </c>
      <c r="CH162" s="24" t="s">
        <v>154</v>
      </c>
      <c r="CI162" s="24" t="s">
        <v>259</v>
      </c>
      <c r="CJ162" s="24" t="s">
        <v>136</v>
      </c>
      <c r="CK162" s="24" t="s">
        <v>207</v>
      </c>
      <c r="CL162" s="24">
        <v>2</v>
      </c>
      <c r="CM162" s="24">
        <v>1</v>
      </c>
      <c r="CN162" s="24">
        <v>2</v>
      </c>
      <c r="CO162" s="24">
        <v>4</v>
      </c>
      <c r="CP162" s="24">
        <v>1</v>
      </c>
      <c r="CQ162" s="24">
        <v>2</v>
      </c>
      <c r="CR162" s="24">
        <v>3</v>
      </c>
      <c r="CS162" s="24">
        <v>3</v>
      </c>
      <c r="CT162" s="24">
        <v>3</v>
      </c>
      <c r="CU162" s="24">
        <v>4</v>
      </c>
      <c r="CV162" s="24">
        <v>4</v>
      </c>
      <c r="CW162" s="24">
        <v>3</v>
      </c>
      <c r="CX162" s="24">
        <v>3</v>
      </c>
      <c r="CY162" s="24">
        <v>3</v>
      </c>
      <c r="CZ162" s="24">
        <v>4</v>
      </c>
      <c r="DA162" s="24">
        <v>1</v>
      </c>
      <c r="DB162" s="24" t="s">
        <v>247</v>
      </c>
      <c r="DC162" s="24">
        <v>3</v>
      </c>
      <c r="DD162" s="24" t="s">
        <v>325</v>
      </c>
      <c r="DE162" s="24" t="s">
        <v>156</v>
      </c>
      <c r="DJ162" s="24" t="s">
        <v>1468</v>
      </c>
      <c r="DK162" s="24" t="s">
        <v>888</v>
      </c>
    </row>
    <row r="163" spans="1:115" ht="22.5" customHeight="1" x14ac:dyDescent="0.2">
      <c r="A163" s="23">
        <v>46079.452454143524</v>
      </c>
      <c r="B163" s="24" t="s">
        <v>1469</v>
      </c>
      <c r="C163" s="24">
        <v>0</v>
      </c>
      <c r="D163" s="24" t="s">
        <v>1470</v>
      </c>
      <c r="E163" s="24" t="s">
        <v>1471</v>
      </c>
      <c r="F163" s="24" t="s">
        <v>128</v>
      </c>
      <c r="G163" s="24">
        <v>61</v>
      </c>
      <c r="H163" s="25" t="s">
        <v>1472</v>
      </c>
      <c r="I163" s="24" t="s">
        <v>194</v>
      </c>
      <c r="J163" s="24" t="s">
        <v>301</v>
      </c>
      <c r="K163" s="24" t="s">
        <v>302</v>
      </c>
      <c r="M163" s="24" t="s">
        <v>156</v>
      </c>
      <c r="N163" s="24" t="s">
        <v>215</v>
      </c>
      <c r="O163" s="24" t="s">
        <v>355</v>
      </c>
      <c r="P163" s="24" t="s">
        <v>156</v>
      </c>
      <c r="Q163" s="24" t="s">
        <v>215</v>
      </c>
      <c r="R163" s="24" t="s">
        <v>318</v>
      </c>
      <c r="S163" s="24" t="s">
        <v>266</v>
      </c>
      <c r="T163" s="24" t="s">
        <v>136</v>
      </c>
      <c r="U163" s="24" t="s">
        <v>356</v>
      </c>
      <c r="V163" s="24" t="s">
        <v>199</v>
      </c>
      <c r="AI163" s="24" t="s">
        <v>304</v>
      </c>
      <c r="AJ163" s="24" t="s">
        <v>156</v>
      </c>
      <c r="AK163" s="24" t="s">
        <v>136</v>
      </c>
      <c r="AL163" s="24" t="s">
        <v>136</v>
      </c>
      <c r="AM163" s="24" t="s">
        <v>136</v>
      </c>
      <c r="AN163" s="24" t="s">
        <v>136</v>
      </c>
      <c r="AO163" s="24" t="s">
        <v>136</v>
      </c>
      <c r="AP163" s="24" t="s">
        <v>136</v>
      </c>
      <c r="AQ163" s="24" t="s">
        <v>136</v>
      </c>
      <c r="BU163" s="24" t="s">
        <v>167</v>
      </c>
      <c r="BV163" s="24" t="s">
        <v>136</v>
      </c>
      <c r="BW163" s="24" t="s">
        <v>1473</v>
      </c>
      <c r="BY163" s="24" t="s">
        <v>306</v>
      </c>
      <c r="BZ163" s="24" t="s">
        <v>307</v>
      </c>
      <c r="CA163" s="24" t="s">
        <v>308</v>
      </c>
      <c r="CB163" s="24" t="s">
        <v>267</v>
      </c>
      <c r="CC163" s="24" t="s">
        <v>242</v>
      </c>
      <c r="CD163" s="24" t="s">
        <v>229</v>
      </c>
      <c r="CE163" s="24" t="s">
        <v>152</v>
      </c>
      <c r="CF163" s="24" t="s">
        <v>243</v>
      </c>
      <c r="CG163" s="24">
        <v>4</v>
      </c>
      <c r="CH163" s="24" t="s">
        <v>244</v>
      </c>
      <c r="CI163" s="24" t="s">
        <v>398</v>
      </c>
      <c r="CJ163" s="24" t="s">
        <v>136</v>
      </c>
      <c r="CK163" s="24" t="s">
        <v>246</v>
      </c>
      <c r="CL163" s="24">
        <v>4</v>
      </c>
      <c r="CM163" s="24">
        <v>4</v>
      </c>
      <c r="CN163" s="24">
        <v>3</v>
      </c>
      <c r="CO163" s="24">
        <v>4</v>
      </c>
      <c r="CP163" s="24">
        <v>5</v>
      </c>
      <c r="CQ163" s="24">
        <v>3</v>
      </c>
      <c r="CR163" s="24">
        <v>4</v>
      </c>
      <c r="CS163" s="24">
        <v>4</v>
      </c>
      <c r="CT163" s="24">
        <v>4</v>
      </c>
      <c r="CU163" s="24">
        <v>4</v>
      </c>
      <c r="CV163" s="24">
        <v>4</v>
      </c>
      <c r="CW163" s="24">
        <v>3</v>
      </c>
      <c r="CX163" s="24">
        <v>3</v>
      </c>
      <c r="CY163" s="24">
        <v>4</v>
      </c>
      <c r="CZ163" s="24">
        <v>4</v>
      </c>
      <c r="DA163" s="24">
        <v>1</v>
      </c>
      <c r="DB163" s="24" t="s">
        <v>247</v>
      </c>
      <c r="DC163" s="24">
        <v>4</v>
      </c>
      <c r="DD163" s="24" t="s">
        <v>1027</v>
      </c>
      <c r="DE163" s="24" t="s">
        <v>136</v>
      </c>
      <c r="DF163" s="24">
        <v>3</v>
      </c>
      <c r="DG163" s="24">
        <v>3</v>
      </c>
      <c r="DH163" s="24">
        <v>3</v>
      </c>
      <c r="DI163" s="24" t="s">
        <v>158</v>
      </c>
      <c r="DJ163" s="24" t="s">
        <v>603</v>
      </c>
      <c r="DK163" s="24" t="s">
        <v>1474</v>
      </c>
    </row>
    <row r="164" spans="1:115" ht="22.5" customHeight="1" x14ac:dyDescent="0.2">
      <c r="A164" s="23">
        <v>46079.453666840272</v>
      </c>
      <c r="B164" s="24" t="s">
        <v>1475</v>
      </c>
      <c r="C164" s="24">
        <v>0</v>
      </c>
      <c r="D164" s="24" t="s">
        <v>1476</v>
      </c>
      <c r="E164" s="24" t="s">
        <v>1477</v>
      </c>
      <c r="F164" s="24" t="s">
        <v>128</v>
      </c>
      <c r="G164" s="24">
        <v>61</v>
      </c>
      <c r="H164" s="25" t="s">
        <v>1478</v>
      </c>
      <c r="I164" s="24" t="s">
        <v>194</v>
      </c>
      <c r="J164" s="24" t="s">
        <v>133</v>
      </c>
      <c r="K164" s="24" t="s">
        <v>302</v>
      </c>
      <c r="M164" s="24" t="s">
        <v>136</v>
      </c>
      <c r="N164" s="24" t="s">
        <v>240</v>
      </c>
      <c r="O164" s="24" t="s">
        <v>199</v>
      </c>
      <c r="P164" s="24" t="s">
        <v>136</v>
      </c>
      <c r="Q164" s="24" t="s">
        <v>502</v>
      </c>
      <c r="R164" s="24" t="s">
        <v>199</v>
      </c>
      <c r="S164" s="24" t="s">
        <v>266</v>
      </c>
      <c r="T164" s="24" t="s">
        <v>136</v>
      </c>
      <c r="U164" s="24" t="s">
        <v>241</v>
      </c>
      <c r="V164" s="24" t="s">
        <v>199</v>
      </c>
      <c r="AI164" s="24" t="s">
        <v>144</v>
      </c>
      <c r="AJ164" s="24" t="s">
        <v>136</v>
      </c>
      <c r="AK164" s="24" t="s">
        <v>156</v>
      </c>
      <c r="AL164" s="24" t="s">
        <v>136</v>
      </c>
      <c r="AM164" s="24" t="s">
        <v>136</v>
      </c>
      <c r="AN164" s="24" t="s">
        <v>156</v>
      </c>
      <c r="AO164" s="24" t="s">
        <v>156</v>
      </c>
      <c r="AP164" s="24" t="s">
        <v>136</v>
      </c>
      <c r="AQ164" s="24" t="s">
        <v>156</v>
      </c>
      <c r="BN164" s="24" t="s">
        <v>167</v>
      </c>
      <c r="BO164" s="24" t="s">
        <v>136</v>
      </c>
      <c r="BP164" s="24" t="s">
        <v>1479</v>
      </c>
      <c r="BR164" s="24" t="s">
        <v>146</v>
      </c>
      <c r="BS164" s="24" t="s">
        <v>169</v>
      </c>
      <c r="BT164" s="24" t="s">
        <v>227</v>
      </c>
      <c r="CB164" s="24" t="s">
        <v>149</v>
      </c>
      <c r="CC164" s="24" t="s">
        <v>150</v>
      </c>
      <c r="CD164" s="24" t="s">
        <v>229</v>
      </c>
      <c r="CE164" s="24" t="s">
        <v>204</v>
      </c>
      <c r="CF164" s="24" t="s">
        <v>243</v>
      </c>
      <c r="CG164" s="24">
        <v>3</v>
      </c>
      <c r="CH164" s="24" t="s">
        <v>172</v>
      </c>
      <c r="CI164" s="24" t="s">
        <v>206</v>
      </c>
      <c r="CJ164" s="24" t="s">
        <v>136</v>
      </c>
      <c r="CK164" s="24" t="s">
        <v>246</v>
      </c>
      <c r="CL164" s="24">
        <v>2</v>
      </c>
      <c r="CM164" s="24">
        <v>2</v>
      </c>
      <c r="CN164" s="24">
        <v>2</v>
      </c>
      <c r="CO164" s="24">
        <v>3</v>
      </c>
      <c r="CP164" s="24">
        <v>2</v>
      </c>
      <c r="CQ164" s="24">
        <v>2</v>
      </c>
      <c r="CR164" s="24">
        <v>3</v>
      </c>
      <c r="CS164" s="24">
        <v>3</v>
      </c>
      <c r="CT164" s="24">
        <v>2</v>
      </c>
      <c r="CU164" s="24">
        <v>3</v>
      </c>
      <c r="CV164" s="24">
        <v>3</v>
      </c>
      <c r="CW164" s="24">
        <v>3</v>
      </c>
      <c r="CX164" s="24">
        <v>4</v>
      </c>
      <c r="CY164" s="24">
        <v>3</v>
      </c>
      <c r="CZ164" s="24">
        <v>2</v>
      </c>
      <c r="DA164" s="24">
        <v>2</v>
      </c>
      <c r="DB164" s="24" t="s">
        <v>247</v>
      </c>
      <c r="DC164" s="24">
        <v>3</v>
      </c>
      <c r="DD164" s="24" t="s">
        <v>695</v>
      </c>
      <c r="DE164" s="24" t="s">
        <v>156</v>
      </c>
      <c r="DJ164" s="24" t="s">
        <v>262</v>
      </c>
      <c r="DK164" s="24" t="s">
        <v>1480</v>
      </c>
    </row>
    <row r="165" spans="1:115" ht="22.5" customHeight="1" x14ac:dyDescent="0.2">
      <c r="A165" s="23">
        <v>46079.454878391203</v>
      </c>
      <c r="B165" s="24" t="s">
        <v>1481</v>
      </c>
      <c r="C165" s="24">
        <v>0</v>
      </c>
      <c r="D165" s="24" t="s">
        <v>1482</v>
      </c>
      <c r="E165" s="24" t="s">
        <v>1483</v>
      </c>
      <c r="F165" s="24" t="s">
        <v>128</v>
      </c>
      <c r="G165" s="24">
        <v>62</v>
      </c>
      <c r="H165" s="25" t="s">
        <v>1484</v>
      </c>
      <c r="I165" s="24" t="s">
        <v>132</v>
      </c>
      <c r="J165" s="24" t="s">
        <v>133</v>
      </c>
      <c r="K165" s="24" t="s">
        <v>302</v>
      </c>
      <c r="M165" s="24" t="s">
        <v>136</v>
      </c>
      <c r="N165" s="24" t="s">
        <v>240</v>
      </c>
      <c r="O165" s="24" t="s">
        <v>199</v>
      </c>
      <c r="P165" s="24" t="s">
        <v>136</v>
      </c>
      <c r="Q165" s="24" t="s">
        <v>254</v>
      </c>
      <c r="R165" s="24" t="s">
        <v>199</v>
      </c>
      <c r="S165" s="24" t="s">
        <v>266</v>
      </c>
      <c r="T165" s="24" t="s">
        <v>136</v>
      </c>
      <c r="U165" s="24" t="s">
        <v>356</v>
      </c>
      <c r="V165" s="24" t="s">
        <v>199</v>
      </c>
      <c r="AI165" s="24" t="s">
        <v>304</v>
      </c>
      <c r="AJ165" s="24" t="s">
        <v>136</v>
      </c>
      <c r="AK165" s="24" t="s">
        <v>136</v>
      </c>
      <c r="AL165" s="24" t="s">
        <v>136</v>
      </c>
      <c r="AM165" s="24" t="s">
        <v>156</v>
      </c>
      <c r="AN165" s="24" t="s">
        <v>136</v>
      </c>
      <c r="AO165" s="24" t="s">
        <v>136</v>
      </c>
      <c r="AP165" s="24" t="s">
        <v>136</v>
      </c>
      <c r="AQ165" s="24" t="s">
        <v>136</v>
      </c>
      <c r="BU165" s="24" t="s">
        <v>167</v>
      </c>
      <c r="BV165" s="24" t="s">
        <v>136</v>
      </c>
      <c r="BW165" s="24" t="s">
        <v>1485</v>
      </c>
      <c r="BY165" s="24" t="s">
        <v>306</v>
      </c>
      <c r="BZ165" s="24" t="s">
        <v>427</v>
      </c>
      <c r="CA165" s="24" t="s">
        <v>421</v>
      </c>
      <c r="CB165" s="24" t="s">
        <v>267</v>
      </c>
      <c r="CC165" s="24" t="s">
        <v>150</v>
      </c>
      <c r="CD165" s="24" t="s">
        <v>171</v>
      </c>
      <c r="CE165" s="24" t="s">
        <v>204</v>
      </c>
      <c r="CF165" s="24" t="s">
        <v>153</v>
      </c>
      <c r="CG165" s="24">
        <v>4</v>
      </c>
      <c r="CH165" s="24" t="s">
        <v>154</v>
      </c>
      <c r="CI165" s="24" t="s">
        <v>407</v>
      </c>
      <c r="CJ165" s="24" t="s">
        <v>136</v>
      </c>
      <c r="CK165" s="24" t="s">
        <v>512</v>
      </c>
      <c r="CL165" s="24">
        <v>4</v>
      </c>
      <c r="CM165" s="24">
        <v>4</v>
      </c>
      <c r="CN165" s="24">
        <v>4</v>
      </c>
      <c r="CO165" s="24">
        <v>3</v>
      </c>
      <c r="CP165" s="24">
        <v>5</v>
      </c>
      <c r="CQ165" s="24">
        <v>2</v>
      </c>
      <c r="CR165" s="24">
        <v>3</v>
      </c>
      <c r="CS165" s="24">
        <v>3</v>
      </c>
      <c r="CT165" s="24">
        <v>2</v>
      </c>
      <c r="CU165" s="24">
        <v>3</v>
      </c>
      <c r="CV165" s="24">
        <v>3</v>
      </c>
      <c r="CW165" s="24">
        <v>3</v>
      </c>
      <c r="CX165" s="24">
        <v>3</v>
      </c>
      <c r="CY165" s="24">
        <v>4</v>
      </c>
      <c r="CZ165" s="24">
        <v>4</v>
      </c>
      <c r="DA165" s="24">
        <v>3</v>
      </c>
      <c r="DB165" s="24" t="s">
        <v>274</v>
      </c>
      <c r="DC165" s="24">
        <v>3</v>
      </c>
      <c r="DD165" s="24" t="s">
        <v>695</v>
      </c>
      <c r="DE165" s="24" t="s">
        <v>136</v>
      </c>
      <c r="DF165" s="24">
        <v>3</v>
      </c>
      <c r="DG165" s="24">
        <v>2</v>
      </c>
      <c r="DH165" s="24">
        <v>2</v>
      </c>
      <c r="DI165" s="24" t="s">
        <v>158</v>
      </c>
      <c r="DJ165" s="24" t="s">
        <v>603</v>
      </c>
      <c r="DK165" s="24" t="s">
        <v>745</v>
      </c>
    </row>
    <row r="166" spans="1:115" ht="22.5" customHeight="1" x14ac:dyDescent="0.2">
      <c r="A166" s="23">
        <v>46079.456445405092</v>
      </c>
      <c r="B166" s="24" t="s">
        <v>1486</v>
      </c>
      <c r="C166" s="24">
        <v>0</v>
      </c>
      <c r="D166" s="24" t="s">
        <v>1487</v>
      </c>
      <c r="E166" s="24" t="s">
        <v>1488</v>
      </c>
      <c r="F166" s="24" t="s">
        <v>163</v>
      </c>
      <c r="G166" s="24">
        <v>60</v>
      </c>
      <c r="H166" s="25" t="s">
        <v>1489</v>
      </c>
      <c r="I166" s="24" t="s">
        <v>194</v>
      </c>
      <c r="J166" s="24" t="s">
        <v>301</v>
      </c>
      <c r="K166" s="24" t="s">
        <v>135</v>
      </c>
      <c r="M166" s="24" t="s">
        <v>136</v>
      </c>
      <c r="N166" s="24" t="s">
        <v>425</v>
      </c>
      <c r="O166" s="24" t="s">
        <v>199</v>
      </c>
      <c r="P166" s="24" t="s">
        <v>156</v>
      </c>
      <c r="Q166" s="24" t="s">
        <v>215</v>
      </c>
      <c r="R166" s="24" t="s">
        <v>270</v>
      </c>
      <c r="S166" s="24" t="s">
        <v>255</v>
      </c>
      <c r="T166" s="24" t="s">
        <v>136</v>
      </c>
      <c r="U166" s="24" t="s">
        <v>356</v>
      </c>
      <c r="V166" s="24" t="s">
        <v>199</v>
      </c>
      <c r="AI166" s="24" t="s">
        <v>319</v>
      </c>
      <c r="AJ166" s="24" t="s">
        <v>136</v>
      </c>
      <c r="AK166" s="24" t="s">
        <v>136</v>
      </c>
      <c r="AL166" s="24" t="s">
        <v>136</v>
      </c>
      <c r="AM166" s="24" t="s">
        <v>136</v>
      </c>
      <c r="AN166" s="24" t="s">
        <v>136</v>
      </c>
      <c r="AO166" s="24" t="s">
        <v>136</v>
      </c>
      <c r="AP166" s="24" t="s">
        <v>136</v>
      </c>
      <c r="AQ166" s="24" t="s">
        <v>136</v>
      </c>
      <c r="AY166" s="24" t="s">
        <v>305</v>
      </c>
      <c r="AZ166" s="24" t="s">
        <v>136</v>
      </c>
      <c r="BA166" s="24" t="s">
        <v>1490</v>
      </c>
      <c r="BC166" s="24" t="s">
        <v>320</v>
      </c>
      <c r="BD166" s="24" t="s">
        <v>393</v>
      </c>
      <c r="BE166" s="24" t="s">
        <v>373</v>
      </c>
      <c r="CB166" s="24" t="s">
        <v>267</v>
      </c>
      <c r="CC166" s="24" t="s">
        <v>150</v>
      </c>
      <c r="CD166" s="24" t="s">
        <v>151</v>
      </c>
      <c r="CE166" s="24" t="s">
        <v>204</v>
      </c>
      <c r="CF166" s="24" t="s">
        <v>153</v>
      </c>
      <c r="CG166" s="24">
        <v>3</v>
      </c>
      <c r="CH166" s="24" t="s">
        <v>154</v>
      </c>
      <c r="CI166" s="24" t="s">
        <v>596</v>
      </c>
      <c r="CJ166" s="24" t="s">
        <v>156</v>
      </c>
      <c r="CK166" s="24" t="s">
        <v>328</v>
      </c>
      <c r="CL166" s="24">
        <v>1</v>
      </c>
      <c r="CM166" s="24">
        <v>1</v>
      </c>
      <c r="CN166" s="24">
        <v>1</v>
      </c>
      <c r="CO166" s="24">
        <v>3</v>
      </c>
      <c r="CP166" s="24">
        <v>1</v>
      </c>
      <c r="CQ166" s="24">
        <v>1</v>
      </c>
      <c r="CR166" s="24">
        <v>1</v>
      </c>
      <c r="CS166" s="24">
        <v>3</v>
      </c>
      <c r="CT166" s="24">
        <v>1</v>
      </c>
      <c r="CU166" s="24">
        <v>1</v>
      </c>
      <c r="CV166" s="24">
        <v>4</v>
      </c>
      <c r="CW166" s="24">
        <v>1</v>
      </c>
      <c r="CX166" s="24">
        <v>1</v>
      </c>
      <c r="CY166" s="24">
        <v>4</v>
      </c>
      <c r="CZ166" s="24">
        <v>1</v>
      </c>
      <c r="DA166" s="24">
        <v>2</v>
      </c>
      <c r="DB166" s="24" t="s">
        <v>383</v>
      </c>
      <c r="DC166" s="24">
        <v>1</v>
      </c>
      <c r="DD166" s="24" t="s">
        <v>807</v>
      </c>
      <c r="DE166" s="24" t="s">
        <v>156</v>
      </c>
      <c r="DJ166" s="24" t="s">
        <v>210</v>
      </c>
      <c r="DK166" s="24" t="s">
        <v>1491</v>
      </c>
    </row>
    <row r="167" spans="1:115" ht="22.5" customHeight="1" x14ac:dyDescent="0.2">
      <c r="A167" s="23">
        <v>46079.456896446762</v>
      </c>
      <c r="B167" s="24" t="s">
        <v>1492</v>
      </c>
      <c r="C167" s="24">
        <v>0</v>
      </c>
      <c r="D167" s="24" t="s">
        <v>1493</v>
      </c>
      <c r="E167" s="24" t="s">
        <v>1494</v>
      </c>
      <c r="F167" s="24" t="s">
        <v>163</v>
      </c>
      <c r="G167" s="24">
        <v>61</v>
      </c>
      <c r="H167" s="25" t="s">
        <v>1495</v>
      </c>
      <c r="I167" s="24" t="s">
        <v>194</v>
      </c>
      <c r="J167" s="24" t="s">
        <v>133</v>
      </c>
      <c r="K167" s="24" t="s">
        <v>345</v>
      </c>
      <c r="M167" s="24" t="s">
        <v>136</v>
      </c>
      <c r="N167" s="24" t="s">
        <v>276</v>
      </c>
      <c r="O167" s="24" t="s">
        <v>199</v>
      </c>
      <c r="P167" s="24" t="s">
        <v>156</v>
      </c>
      <c r="Q167" s="24" t="s">
        <v>215</v>
      </c>
      <c r="R167" s="24" t="s">
        <v>270</v>
      </c>
      <c r="S167" s="24" t="s">
        <v>266</v>
      </c>
      <c r="T167" s="24" t="s">
        <v>136</v>
      </c>
      <c r="U167" s="24" t="s">
        <v>241</v>
      </c>
      <c r="V167" s="24" t="s">
        <v>199</v>
      </c>
      <c r="AI167" s="24" t="s">
        <v>144</v>
      </c>
      <c r="AJ167" s="24" t="s">
        <v>136</v>
      </c>
      <c r="AK167" s="24" t="s">
        <v>136</v>
      </c>
      <c r="AL167" s="24" t="s">
        <v>156</v>
      </c>
      <c r="AM167" s="24" t="s">
        <v>156</v>
      </c>
      <c r="AN167" s="24" t="s">
        <v>156</v>
      </c>
      <c r="AO167" s="24" t="s">
        <v>156</v>
      </c>
      <c r="AP167" s="24" t="s">
        <v>136</v>
      </c>
      <c r="AQ167" s="24" t="s">
        <v>136</v>
      </c>
      <c r="BN167" s="24" t="s">
        <v>167</v>
      </c>
      <c r="BO167" s="24" t="s">
        <v>136</v>
      </c>
      <c r="BP167" s="24" t="s">
        <v>1496</v>
      </c>
      <c r="BQ167" s="24" t="s">
        <v>137</v>
      </c>
      <c r="BR167" s="24" t="s">
        <v>168</v>
      </c>
      <c r="BS167" s="24" t="s">
        <v>169</v>
      </c>
      <c r="BT167" s="24" t="s">
        <v>148</v>
      </c>
      <c r="CB167" s="24" t="s">
        <v>228</v>
      </c>
      <c r="CC167" s="24" t="s">
        <v>150</v>
      </c>
      <c r="CD167" s="24" t="s">
        <v>229</v>
      </c>
      <c r="CE167" s="24" t="s">
        <v>204</v>
      </c>
      <c r="CF167" s="24">
        <v>3</v>
      </c>
      <c r="CG167" s="24">
        <v>4</v>
      </c>
      <c r="CH167" s="24" t="s">
        <v>154</v>
      </c>
      <c r="CI167" s="24" t="s">
        <v>287</v>
      </c>
      <c r="CJ167" s="24" t="s">
        <v>156</v>
      </c>
      <c r="CK167" s="24" t="s">
        <v>231</v>
      </c>
      <c r="CL167" s="24">
        <v>2</v>
      </c>
      <c r="CM167" s="24">
        <v>2</v>
      </c>
      <c r="CN167" s="24">
        <v>3</v>
      </c>
      <c r="CO167" s="24">
        <v>4</v>
      </c>
      <c r="CP167" s="24">
        <v>2</v>
      </c>
      <c r="CQ167" s="24">
        <v>2</v>
      </c>
      <c r="CR167" s="24">
        <v>2</v>
      </c>
      <c r="CS167" s="24">
        <v>4</v>
      </c>
      <c r="CT167" s="24">
        <v>2</v>
      </c>
      <c r="CU167" s="24">
        <v>2</v>
      </c>
      <c r="CV167" s="24">
        <v>4</v>
      </c>
      <c r="CW167" s="24">
        <v>2</v>
      </c>
      <c r="CX167" s="24">
        <v>2</v>
      </c>
      <c r="CY167" s="24">
        <v>4</v>
      </c>
      <c r="CZ167" s="24">
        <v>3</v>
      </c>
      <c r="DA167" s="24">
        <v>2</v>
      </c>
      <c r="DB167" s="24" t="s">
        <v>413</v>
      </c>
      <c r="DC167" s="24">
        <v>2</v>
      </c>
      <c r="DD167" s="24" t="s">
        <v>248</v>
      </c>
      <c r="DE167" s="24" t="s">
        <v>156</v>
      </c>
      <c r="DJ167" s="24" t="s">
        <v>210</v>
      </c>
      <c r="DK167" s="24" t="s">
        <v>1497</v>
      </c>
    </row>
    <row r="168" spans="1:115" ht="22.5" customHeight="1" x14ac:dyDescent="0.2">
      <c r="A168" s="23">
        <v>46079.461287303246</v>
      </c>
      <c r="B168" s="24" t="s">
        <v>1498</v>
      </c>
      <c r="C168" s="24">
        <v>0</v>
      </c>
      <c r="D168" s="24" t="s">
        <v>1499</v>
      </c>
      <c r="E168" s="24" t="s">
        <v>1500</v>
      </c>
      <c r="F168" s="24" t="s">
        <v>128</v>
      </c>
      <c r="G168" s="24">
        <v>62</v>
      </c>
      <c r="H168" s="25" t="s">
        <v>1501</v>
      </c>
      <c r="I168" s="24" t="s">
        <v>132</v>
      </c>
      <c r="J168" s="24" t="s">
        <v>133</v>
      </c>
      <c r="K168" s="24" t="s">
        <v>135</v>
      </c>
      <c r="M168" s="24" t="s">
        <v>136</v>
      </c>
      <c r="N168" s="24" t="s">
        <v>198</v>
      </c>
      <c r="O168" s="24" t="s">
        <v>199</v>
      </c>
      <c r="P168" s="24" t="s">
        <v>156</v>
      </c>
      <c r="Q168" s="24" t="s">
        <v>215</v>
      </c>
      <c r="R168" s="24" t="s">
        <v>318</v>
      </c>
      <c r="S168" s="24" t="s">
        <v>266</v>
      </c>
      <c r="T168" s="24" t="s">
        <v>136</v>
      </c>
      <c r="U168" s="24" t="s">
        <v>202</v>
      </c>
      <c r="V168" s="24" t="s">
        <v>199</v>
      </c>
      <c r="AI168" s="24" t="s">
        <v>466</v>
      </c>
      <c r="AJ168" s="24" t="s">
        <v>136</v>
      </c>
      <c r="AK168" s="24" t="s">
        <v>136</v>
      </c>
      <c r="AL168" s="24" t="s">
        <v>156</v>
      </c>
      <c r="AM168" s="24" t="s">
        <v>156</v>
      </c>
      <c r="AN168" s="24" t="s">
        <v>136</v>
      </c>
      <c r="AO168" s="24" t="s">
        <v>136</v>
      </c>
      <c r="AP168" s="24" t="s">
        <v>136</v>
      </c>
      <c r="AQ168" s="24" t="s">
        <v>136</v>
      </c>
      <c r="AR168" s="24" t="s">
        <v>167</v>
      </c>
      <c r="AS168" s="24" t="s">
        <v>136</v>
      </c>
      <c r="AT168" s="24" t="s">
        <v>1502</v>
      </c>
      <c r="AV168" s="24" t="s">
        <v>468</v>
      </c>
      <c r="AW168" s="24" t="s">
        <v>447</v>
      </c>
      <c r="AX168" s="24" t="s">
        <v>406</v>
      </c>
      <c r="CB168" s="24" t="s">
        <v>149</v>
      </c>
      <c r="CC168" s="24" t="s">
        <v>150</v>
      </c>
      <c r="CD168" s="24" t="s">
        <v>229</v>
      </c>
      <c r="CE168" s="24" t="s">
        <v>204</v>
      </c>
      <c r="CF168" s="24" t="s">
        <v>153</v>
      </c>
      <c r="CG168" s="24">
        <v>4</v>
      </c>
      <c r="CH168" s="24" t="s">
        <v>154</v>
      </c>
      <c r="CI168" s="24" t="s">
        <v>865</v>
      </c>
      <c r="CJ168" s="24" t="s">
        <v>136</v>
      </c>
      <c r="CK168" s="24" t="s">
        <v>537</v>
      </c>
      <c r="CL168" s="24">
        <v>2</v>
      </c>
      <c r="CM168" s="24">
        <v>2</v>
      </c>
      <c r="CN168" s="24">
        <v>4</v>
      </c>
      <c r="CO168" s="24">
        <v>4</v>
      </c>
      <c r="CP168" s="24">
        <v>3</v>
      </c>
      <c r="CQ168" s="24">
        <v>2</v>
      </c>
      <c r="CR168" s="24">
        <v>3</v>
      </c>
      <c r="CS168" s="24">
        <v>4</v>
      </c>
      <c r="CT168" s="24">
        <v>2</v>
      </c>
      <c r="CU168" s="24">
        <v>4</v>
      </c>
      <c r="CV168" s="24">
        <v>4</v>
      </c>
      <c r="CW168" s="24">
        <v>2</v>
      </c>
      <c r="CX168" s="24">
        <v>4</v>
      </c>
      <c r="CY168" s="24">
        <v>4</v>
      </c>
      <c r="CZ168" s="24">
        <v>2</v>
      </c>
      <c r="DA168" s="24">
        <v>2</v>
      </c>
      <c r="DB168" s="24" t="s">
        <v>1258</v>
      </c>
      <c r="DC168" s="24">
        <v>4</v>
      </c>
      <c r="DD168" s="24" t="s">
        <v>695</v>
      </c>
      <c r="DE168" s="24" t="s">
        <v>156</v>
      </c>
      <c r="DJ168" s="24" t="s">
        <v>210</v>
      </c>
      <c r="DK168" s="24" t="s">
        <v>1503</v>
      </c>
    </row>
    <row r="169" spans="1:115" ht="22.5" customHeight="1" x14ac:dyDescent="0.2">
      <c r="A169" s="23">
        <v>46079.467699560184</v>
      </c>
      <c r="B169" s="24" t="s">
        <v>1504</v>
      </c>
      <c r="C169" s="24">
        <v>0</v>
      </c>
      <c r="D169" s="24" t="s">
        <v>1505</v>
      </c>
      <c r="E169" s="24" t="s">
        <v>1506</v>
      </c>
      <c r="F169" s="24" t="s">
        <v>163</v>
      </c>
      <c r="G169" s="24">
        <v>61</v>
      </c>
      <c r="H169" s="25" t="s">
        <v>1507</v>
      </c>
      <c r="I169" s="24" t="s">
        <v>132</v>
      </c>
      <c r="J169" s="24" t="s">
        <v>384</v>
      </c>
      <c r="K169" s="24" t="s">
        <v>302</v>
      </c>
      <c r="M169" s="24" t="s">
        <v>136</v>
      </c>
      <c r="N169" s="24" t="s">
        <v>264</v>
      </c>
      <c r="O169" s="24" t="s">
        <v>931</v>
      </c>
      <c r="P169" s="24" t="s">
        <v>156</v>
      </c>
      <c r="Q169" s="24" t="s">
        <v>215</v>
      </c>
      <c r="R169" s="24" t="s">
        <v>318</v>
      </c>
      <c r="S169" s="24" t="s">
        <v>313</v>
      </c>
      <c r="T169" s="24" t="s">
        <v>136</v>
      </c>
      <c r="U169" s="24" t="s">
        <v>241</v>
      </c>
      <c r="V169" s="24" t="s">
        <v>864</v>
      </c>
      <c r="AI169" s="24" t="s">
        <v>304</v>
      </c>
      <c r="AJ169" s="24" t="s">
        <v>136</v>
      </c>
      <c r="AK169" s="24" t="s">
        <v>136</v>
      </c>
      <c r="AL169" s="24" t="s">
        <v>136</v>
      </c>
      <c r="AM169" s="24" t="s">
        <v>156</v>
      </c>
      <c r="AN169" s="24" t="s">
        <v>136</v>
      </c>
      <c r="AO169" s="24" t="s">
        <v>136</v>
      </c>
      <c r="AP169" s="24" t="s">
        <v>136</v>
      </c>
      <c r="AQ169" s="24" t="s">
        <v>136</v>
      </c>
      <c r="BU169" s="24" t="s">
        <v>167</v>
      </c>
      <c r="BV169" s="24" t="s">
        <v>136</v>
      </c>
      <c r="BW169" s="24" t="s">
        <v>1508</v>
      </c>
      <c r="BY169" s="24" t="s">
        <v>306</v>
      </c>
      <c r="BZ169" s="24" t="s">
        <v>337</v>
      </c>
      <c r="CA169" s="24" t="s">
        <v>308</v>
      </c>
      <c r="CB169" s="24" t="s">
        <v>267</v>
      </c>
      <c r="CC169" s="24" t="s">
        <v>242</v>
      </c>
      <c r="CD169" s="24" t="s">
        <v>322</v>
      </c>
      <c r="CE169" s="24" t="s">
        <v>204</v>
      </c>
      <c r="CF169" s="24" t="s">
        <v>243</v>
      </c>
      <c r="CG169" s="24">
        <v>4</v>
      </c>
      <c r="CH169" s="24" t="s">
        <v>205</v>
      </c>
      <c r="CI169" s="24" t="s">
        <v>339</v>
      </c>
      <c r="CJ169" s="24" t="s">
        <v>136</v>
      </c>
      <c r="CK169" s="24" t="s">
        <v>279</v>
      </c>
      <c r="CL169" s="24">
        <v>4</v>
      </c>
      <c r="CM169" s="24">
        <v>4</v>
      </c>
      <c r="CN169" s="24">
        <v>4</v>
      </c>
      <c r="CO169" s="24">
        <v>4</v>
      </c>
      <c r="CP169" s="24">
        <v>5</v>
      </c>
      <c r="CQ169" s="24">
        <v>4</v>
      </c>
      <c r="CR169" s="24">
        <v>4</v>
      </c>
      <c r="CS169" s="24">
        <v>4</v>
      </c>
      <c r="CT169" s="24">
        <v>4</v>
      </c>
      <c r="CU169" s="24">
        <v>4</v>
      </c>
      <c r="CV169" s="24">
        <v>4</v>
      </c>
      <c r="CW169" s="24">
        <v>4</v>
      </c>
      <c r="CX169" s="24">
        <v>4</v>
      </c>
      <c r="CY169" s="24">
        <v>4</v>
      </c>
      <c r="CZ169" s="24">
        <v>4</v>
      </c>
      <c r="DA169" s="24">
        <v>4</v>
      </c>
      <c r="DB169" s="24" t="s">
        <v>1102</v>
      </c>
      <c r="DC169" s="24">
        <v>4</v>
      </c>
      <c r="DD169" s="24" t="s">
        <v>1509</v>
      </c>
      <c r="DE169" s="24" t="s">
        <v>136</v>
      </c>
      <c r="DF169" s="24">
        <v>4</v>
      </c>
      <c r="DG169" s="24">
        <v>4</v>
      </c>
      <c r="DH169" s="24">
        <v>4</v>
      </c>
      <c r="DI169" s="24" t="s">
        <v>1510</v>
      </c>
      <c r="DJ169" s="24" t="s">
        <v>188</v>
      </c>
      <c r="DK169" s="24" t="s">
        <v>137</v>
      </c>
    </row>
    <row r="170" spans="1:115" ht="22.5" customHeight="1" x14ac:dyDescent="0.2">
      <c r="A170" s="23">
        <v>46079.47521650463</v>
      </c>
      <c r="B170" s="24" t="s">
        <v>1511</v>
      </c>
      <c r="C170" s="24">
        <v>0</v>
      </c>
      <c r="D170" s="24" t="s">
        <v>1512</v>
      </c>
      <c r="E170" s="24" t="s">
        <v>1513</v>
      </c>
      <c r="F170" s="24" t="s">
        <v>128</v>
      </c>
      <c r="G170" s="24">
        <v>61</v>
      </c>
      <c r="H170" s="25" t="s">
        <v>1514</v>
      </c>
      <c r="I170" s="24" t="s">
        <v>132</v>
      </c>
      <c r="J170" s="24" t="s">
        <v>133</v>
      </c>
      <c r="K170" s="24" t="s">
        <v>302</v>
      </c>
      <c r="M170" s="24" t="s">
        <v>156</v>
      </c>
      <c r="N170" s="24" t="s">
        <v>215</v>
      </c>
      <c r="O170" s="24" t="s">
        <v>360</v>
      </c>
      <c r="P170" s="24" t="s">
        <v>136</v>
      </c>
      <c r="Q170" s="24" t="s">
        <v>502</v>
      </c>
      <c r="R170" s="24" t="s">
        <v>199</v>
      </c>
      <c r="S170" s="24" t="s">
        <v>266</v>
      </c>
      <c r="T170" s="24" t="s">
        <v>136</v>
      </c>
      <c r="U170" s="24" t="s">
        <v>256</v>
      </c>
      <c r="V170" s="24" t="s">
        <v>199</v>
      </c>
      <c r="AI170" s="24" t="s">
        <v>144</v>
      </c>
      <c r="AJ170" s="24" t="s">
        <v>136</v>
      </c>
      <c r="AK170" s="24" t="s">
        <v>136</v>
      </c>
      <c r="AL170" s="24" t="s">
        <v>136</v>
      </c>
      <c r="AM170" s="24" t="s">
        <v>136</v>
      </c>
      <c r="AN170" s="24" t="s">
        <v>136</v>
      </c>
      <c r="AO170" s="24" t="s">
        <v>136</v>
      </c>
      <c r="AP170" s="24" t="s">
        <v>136</v>
      </c>
      <c r="AQ170" s="24" t="s">
        <v>156</v>
      </c>
      <c r="BN170" s="24" t="s">
        <v>167</v>
      </c>
      <c r="BO170" s="24" t="s">
        <v>136</v>
      </c>
      <c r="BP170" s="24" t="s">
        <v>1515</v>
      </c>
      <c r="BR170" s="24" t="s">
        <v>168</v>
      </c>
      <c r="BS170" s="24" t="s">
        <v>169</v>
      </c>
      <c r="BT170" s="24" t="s">
        <v>170</v>
      </c>
      <c r="CB170" s="24" t="s">
        <v>267</v>
      </c>
      <c r="CC170" s="24" t="s">
        <v>242</v>
      </c>
      <c r="CD170" s="24" t="s">
        <v>229</v>
      </c>
      <c r="CE170" s="24" t="s">
        <v>204</v>
      </c>
      <c r="CF170" s="24" t="s">
        <v>153</v>
      </c>
      <c r="CG170" s="24">
        <v>4</v>
      </c>
      <c r="CH170" s="24" t="s">
        <v>154</v>
      </c>
      <c r="CI170" s="24" t="s">
        <v>155</v>
      </c>
      <c r="CJ170" s="24" t="s">
        <v>136</v>
      </c>
      <c r="CK170" s="24" t="s">
        <v>328</v>
      </c>
      <c r="CL170" s="24">
        <v>1</v>
      </c>
      <c r="CM170" s="24">
        <v>1</v>
      </c>
      <c r="CN170" s="24">
        <v>2</v>
      </c>
      <c r="CO170" s="24">
        <v>4</v>
      </c>
      <c r="CP170" s="24">
        <v>3</v>
      </c>
      <c r="CQ170" s="24">
        <v>1</v>
      </c>
      <c r="CR170" s="24">
        <v>1</v>
      </c>
      <c r="CS170" s="24">
        <v>1</v>
      </c>
      <c r="CT170" s="24">
        <v>4</v>
      </c>
      <c r="CU170" s="24">
        <v>4</v>
      </c>
      <c r="CV170" s="24">
        <v>4</v>
      </c>
      <c r="CW170" s="24">
        <v>4</v>
      </c>
      <c r="CX170" s="24">
        <v>3</v>
      </c>
      <c r="CY170" s="24">
        <v>3</v>
      </c>
      <c r="CZ170" s="24">
        <v>3</v>
      </c>
      <c r="DA170" s="24">
        <v>3</v>
      </c>
      <c r="DB170" s="24" t="s">
        <v>247</v>
      </c>
      <c r="DC170" s="24">
        <v>4</v>
      </c>
      <c r="DD170" s="24" t="s">
        <v>1516</v>
      </c>
      <c r="DE170" s="24" t="s">
        <v>136</v>
      </c>
      <c r="DF170" s="24">
        <v>3</v>
      </c>
      <c r="DG170" s="24">
        <v>3</v>
      </c>
      <c r="DH170" s="24">
        <v>3</v>
      </c>
      <c r="DI170" s="24" t="s">
        <v>1517</v>
      </c>
      <c r="DJ170" s="24" t="s">
        <v>210</v>
      </c>
      <c r="DK170" s="24" t="s">
        <v>137</v>
      </c>
    </row>
    <row r="171" spans="1:115" ht="22.5" customHeight="1" x14ac:dyDescent="0.2">
      <c r="A171" s="23">
        <v>46079.488536354169</v>
      </c>
      <c r="B171" s="24" t="s">
        <v>1518</v>
      </c>
      <c r="C171" s="24">
        <v>0</v>
      </c>
      <c r="D171" s="24" t="s">
        <v>1519</v>
      </c>
      <c r="E171" s="24" t="s">
        <v>1520</v>
      </c>
      <c r="F171" s="24" t="s">
        <v>163</v>
      </c>
      <c r="G171" s="24">
        <v>62</v>
      </c>
      <c r="H171" s="25" t="s">
        <v>1521</v>
      </c>
      <c r="I171" s="24" t="s">
        <v>132</v>
      </c>
      <c r="J171" s="24" t="s">
        <v>133</v>
      </c>
      <c r="K171" s="24" t="s">
        <v>302</v>
      </c>
      <c r="M171" s="24" t="s">
        <v>136</v>
      </c>
      <c r="N171" s="24" t="s">
        <v>264</v>
      </c>
      <c r="O171" s="24" t="s">
        <v>199</v>
      </c>
      <c r="P171" s="24" t="s">
        <v>156</v>
      </c>
      <c r="Q171" s="24" t="s">
        <v>215</v>
      </c>
      <c r="R171" s="24" t="s">
        <v>318</v>
      </c>
      <c r="S171" s="24" t="s">
        <v>266</v>
      </c>
      <c r="T171" s="24" t="s">
        <v>136</v>
      </c>
      <c r="U171" s="24" t="s">
        <v>202</v>
      </c>
      <c r="V171" s="24" t="s">
        <v>199</v>
      </c>
      <c r="AI171" s="24" t="s">
        <v>144</v>
      </c>
      <c r="AJ171" s="24" t="s">
        <v>136</v>
      </c>
      <c r="AK171" s="24" t="s">
        <v>136</v>
      </c>
      <c r="AL171" s="24" t="s">
        <v>136</v>
      </c>
      <c r="AM171" s="24" t="s">
        <v>136</v>
      </c>
      <c r="AN171" s="24" t="s">
        <v>136</v>
      </c>
      <c r="AO171" s="24" t="s">
        <v>136</v>
      </c>
      <c r="AP171" s="24" t="s">
        <v>136</v>
      </c>
      <c r="AQ171" s="24" t="s">
        <v>136</v>
      </c>
      <c r="BN171" s="24" t="s">
        <v>167</v>
      </c>
      <c r="BO171" s="24" t="s">
        <v>136</v>
      </c>
      <c r="BP171" s="24" t="s">
        <v>1522</v>
      </c>
      <c r="BQ171" s="24" t="s">
        <v>137</v>
      </c>
      <c r="BR171" s="24" t="s">
        <v>168</v>
      </c>
      <c r="BS171" s="24" t="s">
        <v>169</v>
      </c>
      <c r="BT171" s="24" t="s">
        <v>148</v>
      </c>
      <c r="CB171" s="24" t="s">
        <v>149</v>
      </c>
      <c r="CC171" s="24" t="s">
        <v>150</v>
      </c>
      <c r="CD171" s="24" t="s">
        <v>171</v>
      </c>
      <c r="CE171" s="24" t="s">
        <v>204</v>
      </c>
      <c r="CF171" s="24" t="s">
        <v>153</v>
      </c>
      <c r="CG171" s="24">
        <v>4</v>
      </c>
      <c r="CH171" s="24" t="s">
        <v>172</v>
      </c>
      <c r="CI171" s="24" t="s">
        <v>278</v>
      </c>
      <c r="CJ171" s="24" t="s">
        <v>136</v>
      </c>
      <c r="CK171" s="24" t="s">
        <v>231</v>
      </c>
      <c r="CL171" s="24">
        <v>4</v>
      </c>
      <c r="CM171" s="24">
        <v>4</v>
      </c>
      <c r="CN171" s="24">
        <v>4</v>
      </c>
      <c r="CO171" s="24">
        <v>4</v>
      </c>
      <c r="CP171" s="24">
        <v>5</v>
      </c>
      <c r="CQ171" s="24">
        <v>3</v>
      </c>
      <c r="CR171" s="24">
        <v>3</v>
      </c>
      <c r="CS171" s="24">
        <v>3</v>
      </c>
      <c r="CT171" s="24">
        <v>3</v>
      </c>
      <c r="CU171" s="24">
        <v>3</v>
      </c>
      <c r="CV171" s="24">
        <v>3</v>
      </c>
      <c r="CW171" s="24">
        <v>3</v>
      </c>
      <c r="CX171" s="24">
        <v>3</v>
      </c>
      <c r="CY171" s="24">
        <v>3</v>
      </c>
      <c r="CZ171" s="24">
        <v>3</v>
      </c>
      <c r="DA171" s="24">
        <v>3</v>
      </c>
      <c r="DB171" s="24" t="s">
        <v>1523</v>
      </c>
      <c r="DC171" s="24">
        <v>4</v>
      </c>
      <c r="DD171" s="24" t="s">
        <v>363</v>
      </c>
      <c r="DE171" s="24" t="s">
        <v>136</v>
      </c>
      <c r="DF171" s="24">
        <v>3</v>
      </c>
      <c r="DG171" s="24">
        <v>3</v>
      </c>
      <c r="DH171" s="24">
        <v>3</v>
      </c>
      <c r="DI171" s="24" t="s">
        <v>1524</v>
      </c>
      <c r="DJ171" s="24" t="s">
        <v>188</v>
      </c>
      <c r="DK171" s="24" t="s">
        <v>1525</v>
      </c>
    </row>
    <row r="172" spans="1:115" ht="22.5" customHeight="1" x14ac:dyDescent="0.2">
      <c r="A172" s="23">
        <v>46079.490389629631</v>
      </c>
      <c r="B172" s="24" t="s">
        <v>1526</v>
      </c>
      <c r="C172" s="24">
        <v>0</v>
      </c>
      <c r="D172" s="24" t="s">
        <v>1527</v>
      </c>
      <c r="E172" s="24" t="s">
        <v>1528</v>
      </c>
      <c r="F172" s="24" t="s">
        <v>128</v>
      </c>
      <c r="G172" s="24">
        <v>60</v>
      </c>
      <c r="H172" s="25" t="s">
        <v>1529</v>
      </c>
      <c r="I172" s="24" t="s">
        <v>275</v>
      </c>
      <c r="J172" s="24" t="s">
        <v>133</v>
      </c>
      <c r="K172" s="24" t="s">
        <v>302</v>
      </c>
      <c r="M172" s="24" t="s">
        <v>136</v>
      </c>
      <c r="N172" s="24" t="s">
        <v>425</v>
      </c>
      <c r="O172" s="24" t="s">
        <v>551</v>
      </c>
      <c r="P172" s="24" t="s">
        <v>136</v>
      </c>
      <c r="Q172" s="24" t="s">
        <v>502</v>
      </c>
      <c r="R172" s="24" t="s">
        <v>443</v>
      </c>
      <c r="S172" s="24" t="s">
        <v>266</v>
      </c>
      <c r="T172" s="24" t="s">
        <v>136</v>
      </c>
      <c r="U172" s="24" t="s">
        <v>202</v>
      </c>
      <c r="V172" s="24" t="s">
        <v>199</v>
      </c>
      <c r="AI172" s="24" t="s">
        <v>144</v>
      </c>
      <c r="AJ172" s="24" t="s">
        <v>136</v>
      </c>
      <c r="AK172" s="24" t="s">
        <v>136</v>
      </c>
      <c r="AL172" s="24" t="s">
        <v>156</v>
      </c>
      <c r="AM172" s="24" t="s">
        <v>136</v>
      </c>
      <c r="AN172" s="24" t="s">
        <v>156</v>
      </c>
      <c r="AO172" s="24" t="s">
        <v>156</v>
      </c>
      <c r="AP172" s="24" t="s">
        <v>136</v>
      </c>
      <c r="AQ172" s="24" t="s">
        <v>136</v>
      </c>
      <c r="BN172" s="24" t="s">
        <v>933</v>
      </c>
      <c r="BO172" s="24" t="s">
        <v>136</v>
      </c>
      <c r="BP172" s="24" t="s">
        <v>1530</v>
      </c>
      <c r="BQ172" s="24" t="s">
        <v>137</v>
      </c>
      <c r="BR172" s="24" t="s">
        <v>168</v>
      </c>
      <c r="BS172" s="24" t="s">
        <v>169</v>
      </c>
      <c r="BT172" s="24" t="s">
        <v>170</v>
      </c>
      <c r="CB172" s="24" t="s">
        <v>267</v>
      </c>
      <c r="CC172" s="24" t="s">
        <v>242</v>
      </c>
      <c r="CD172" s="24" t="s">
        <v>229</v>
      </c>
      <c r="CE172" s="24" t="s">
        <v>204</v>
      </c>
      <c r="CF172" s="24" t="s">
        <v>243</v>
      </c>
      <c r="CG172" s="24">
        <v>4</v>
      </c>
      <c r="CH172" s="24" t="s">
        <v>154</v>
      </c>
      <c r="CI172" s="24" t="s">
        <v>437</v>
      </c>
      <c r="CJ172" s="24" t="s">
        <v>136</v>
      </c>
      <c r="CK172" s="24" t="s">
        <v>430</v>
      </c>
      <c r="CL172" s="24">
        <v>3</v>
      </c>
      <c r="CM172" s="24">
        <v>3</v>
      </c>
      <c r="CN172" s="24">
        <v>4</v>
      </c>
      <c r="CO172" s="24">
        <v>4</v>
      </c>
      <c r="CP172" s="24">
        <v>4</v>
      </c>
      <c r="CQ172" s="24">
        <v>3</v>
      </c>
      <c r="CR172" s="24">
        <v>3</v>
      </c>
      <c r="CS172" s="24">
        <v>3</v>
      </c>
      <c r="CT172" s="24">
        <v>3</v>
      </c>
      <c r="CU172" s="24">
        <v>3</v>
      </c>
      <c r="CV172" s="24">
        <v>3</v>
      </c>
      <c r="CW172" s="24">
        <v>3</v>
      </c>
      <c r="CX172" s="24">
        <v>3</v>
      </c>
      <c r="CY172" s="24">
        <v>3</v>
      </c>
      <c r="CZ172" s="24">
        <v>3</v>
      </c>
      <c r="DA172" s="24">
        <v>2</v>
      </c>
      <c r="DB172" s="24" t="s">
        <v>274</v>
      </c>
      <c r="DC172" s="24">
        <v>4</v>
      </c>
      <c r="DD172" s="24" t="s">
        <v>296</v>
      </c>
      <c r="DE172" s="24" t="s">
        <v>136</v>
      </c>
      <c r="DF172" s="24">
        <v>3</v>
      </c>
      <c r="DG172" s="24">
        <v>3</v>
      </c>
      <c r="DH172" s="24">
        <v>3</v>
      </c>
      <c r="DI172" s="24" t="s">
        <v>917</v>
      </c>
      <c r="DJ172" s="24" t="s">
        <v>188</v>
      </c>
      <c r="DK172" s="24" t="s">
        <v>137</v>
      </c>
    </row>
    <row r="173" spans="1:115" ht="22.5" customHeight="1" x14ac:dyDescent="0.2">
      <c r="A173" s="23">
        <v>46079.494770011574</v>
      </c>
      <c r="B173" s="24" t="s">
        <v>1531</v>
      </c>
      <c r="C173" s="24">
        <v>0</v>
      </c>
      <c r="D173" s="24" t="s">
        <v>1532</v>
      </c>
      <c r="E173" s="24" t="s">
        <v>1533</v>
      </c>
      <c r="F173" s="24" t="s">
        <v>128</v>
      </c>
      <c r="G173" s="24">
        <v>62</v>
      </c>
      <c r="H173" s="25" t="s">
        <v>1534</v>
      </c>
      <c r="I173" s="24" t="s">
        <v>194</v>
      </c>
      <c r="J173" s="24" t="s">
        <v>301</v>
      </c>
      <c r="K173" s="24" t="s">
        <v>269</v>
      </c>
      <c r="M173" s="24" t="s">
        <v>136</v>
      </c>
      <c r="N173" s="24" t="s">
        <v>425</v>
      </c>
      <c r="O173" s="24" t="s">
        <v>199</v>
      </c>
      <c r="P173" s="24" t="s">
        <v>156</v>
      </c>
      <c r="Q173" s="24" t="s">
        <v>215</v>
      </c>
      <c r="R173" s="24" t="s">
        <v>318</v>
      </c>
      <c r="S173" s="24" t="s">
        <v>255</v>
      </c>
      <c r="T173" s="24" t="s">
        <v>136</v>
      </c>
      <c r="U173" s="24" t="s">
        <v>356</v>
      </c>
      <c r="V173" s="24" t="s">
        <v>199</v>
      </c>
      <c r="AI173" s="24" t="s">
        <v>304</v>
      </c>
      <c r="AJ173" s="24" t="s">
        <v>136</v>
      </c>
      <c r="AK173" s="24" t="s">
        <v>136</v>
      </c>
      <c r="AL173" s="24" t="s">
        <v>136</v>
      </c>
      <c r="AM173" s="24" t="s">
        <v>136</v>
      </c>
      <c r="AN173" s="24" t="s">
        <v>136</v>
      </c>
      <c r="AO173" s="24" t="s">
        <v>136</v>
      </c>
      <c r="AP173" s="24" t="s">
        <v>136</v>
      </c>
      <c r="AQ173" s="24" t="s">
        <v>156</v>
      </c>
      <c r="BU173" s="24" t="s">
        <v>167</v>
      </c>
      <c r="BV173" s="24" t="s">
        <v>136</v>
      </c>
      <c r="BW173" s="24" t="s">
        <v>1535</v>
      </c>
      <c r="BY173" s="24" t="s">
        <v>376</v>
      </c>
      <c r="BZ173" s="24" t="s">
        <v>307</v>
      </c>
      <c r="CA173" s="24" t="s">
        <v>338</v>
      </c>
      <c r="CB173" s="24" t="s">
        <v>149</v>
      </c>
      <c r="CC173" s="24" t="s">
        <v>150</v>
      </c>
      <c r="CD173" s="24" t="s">
        <v>229</v>
      </c>
      <c r="CE173" s="24" t="s">
        <v>204</v>
      </c>
      <c r="CF173" s="24" t="s">
        <v>243</v>
      </c>
      <c r="CG173" s="24">
        <v>4</v>
      </c>
      <c r="CH173" s="24" t="s">
        <v>286</v>
      </c>
      <c r="CI173" s="24" t="s">
        <v>341</v>
      </c>
      <c r="CJ173" s="24" t="s">
        <v>156</v>
      </c>
      <c r="CK173" s="24" t="s">
        <v>328</v>
      </c>
      <c r="CL173" s="24">
        <v>3</v>
      </c>
      <c r="CM173" s="24">
        <v>3</v>
      </c>
      <c r="CN173" s="24">
        <v>3</v>
      </c>
      <c r="CO173" s="24">
        <v>3</v>
      </c>
      <c r="CP173" s="24">
        <v>4</v>
      </c>
      <c r="CQ173" s="24">
        <v>3</v>
      </c>
      <c r="CR173" s="24">
        <v>3</v>
      </c>
      <c r="CS173" s="24">
        <v>3</v>
      </c>
      <c r="CT173" s="24">
        <v>3</v>
      </c>
      <c r="CU173" s="24">
        <v>3</v>
      </c>
      <c r="CV173" s="24">
        <v>3</v>
      </c>
      <c r="CW173" s="24">
        <v>3</v>
      </c>
      <c r="CX173" s="24">
        <v>3</v>
      </c>
      <c r="CY173" s="24">
        <v>3</v>
      </c>
      <c r="CZ173" s="24">
        <v>3</v>
      </c>
      <c r="DA173" s="24">
        <v>3</v>
      </c>
      <c r="DB173" s="24" t="s">
        <v>1536</v>
      </c>
      <c r="DC173" s="24">
        <v>3</v>
      </c>
      <c r="DD173" s="24" t="s">
        <v>330</v>
      </c>
      <c r="DE173" s="24" t="s">
        <v>136</v>
      </c>
      <c r="DF173" s="24">
        <v>3</v>
      </c>
      <c r="DG173" s="24">
        <v>3</v>
      </c>
      <c r="DH173" s="24">
        <v>3</v>
      </c>
      <c r="DI173" s="24" t="s">
        <v>529</v>
      </c>
      <c r="DJ173" s="24" t="s">
        <v>210</v>
      </c>
      <c r="DK173" s="24" t="s">
        <v>137</v>
      </c>
    </row>
    <row r="174" spans="1:115" ht="22.5" customHeight="1" x14ac:dyDescent="0.2">
      <c r="A174" s="23">
        <v>46079.501827523149</v>
      </c>
      <c r="B174" s="24" t="s">
        <v>1537</v>
      </c>
      <c r="C174" s="24">
        <v>0</v>
      </c>
      <c r="D174" s="24" t="s">
        <v>1538</v>
      </c>
      <c r="E174" s="24" t="s">
        <v>1539</v>
      </c>
      <c r="F174" s="24" t="s">
        <v>128</v>
      </c>
      <c r="G174" s="24">
        <v>61</v>
      </c>
      <c r="H174" s="25" t="s">
        <v>1540</v>
      </c>
      <c r="I174" s="24" t="s">
        <v>194</v>
      </c>
      <c r="J174" s="24" t="s">
        <v>301</v>
      </c>
      <c r="K174" s="24" t="s">
        <v>302</v>
      </c>
      <c r="M174" s="24" t="s">
        <v>136</v>
      </c>
      <c r="N174" s="24" t="s">
        <v>240</v>
      </c>
      <c r="O174" s="24" t="s">
        <v>199</v>
      </c>
      <c r="P174" s="24" t="s">
        <v>136</v>
      </c>
      <c r="Q174" s="24" t="s">
        <v>303</v>
      </c>
      <c r="R174" s="24" t="s">
        <v>199</v>
      </c>
      <c r="S174" s="24" t="s">
        <v>266</v>
      </c>
      <c r="T174" s="24" t="s">
        <v>136</v>
      </c>
      <c r="U174" s="24" t="s">
        <v>256</v>
      </c>
      <c r="V174" s="24" t="s">
        <v>199</v>
      </c>
      <c r="AI174" s="24" t="s">
        <v>1541</v>
      </c>
      <c r="AJ174" s="24" t="s">
        <v>156</v>
      </c>
      <c r="AK174" s="24" t="s">
        <v>136</v>
      </c>
      <c r="AL174" s="24" t="s">
        <v>136</v>
      </c>
      <c r="AM174" s="24" t="s">
        <v>156</v>
      </c>
      <c r="AN174" s="24" t="s">
        <v>136</v>
      </c>
      <c r="AO174" s="24" t="s">
        <v>136</v>
      </c>
      <c r="AP174" s="24" t="s">
        <v>136</v>
      </c>
      <c r="AQ174" s="24" t="s">
        <v>156</v>
      </c>
      <c r="AR174" s="24" t="s">
        <v>346</v>
      </c>
      <c r="AS174" s="24" t="s">
        <v>156</v>
      </c>
      <c r="AU174" s="24" t="s">
        <v>1542</v>
      </c>
      <c r="AV174" s="24" t="s">
        <v>404</v>
      </c>
      <c r="AW174" s="24" t="s">
        <v>1096</v>
      </c>
      <c r="AX174" s="24" t="s">
        <v>406</v>
      </c>
      <c r="CB174" s="24" t="s">
        <v>149</v>
      </c>
      <c r="CC174" s="24" t="s">
        <v>150</v>
      </c>
      <c r="CD174" s="24" t="s">
        <v>322</v>
      </c>
      <c r="CE174" s="24" t="s">
        <v>152</v>
      </c>
      <c r="CF174" s="24" t="s">
        <v>243</v>
      </c>
      <c r="CG174" s="24">
        <v>4</v>
      </c>
      <c r="CH174" s="24" t="s">
        <v>172</v>
      </c>
      <c r="CI174" s="24" t="s">
        <v>259</v>
      </c>
      <c r="CJ174" s="24" t="s">
        <v>136</v>
      </c>
      <c r="CK174" s="24" t="s">
        <v>231</v>
      </c>
      <c r="CL174" s="24">
        <v>3</v>
      </c>
      <c r="CM174" s="24">
        <v>3</v>
      </c>
      <c r="CN174" s="24">
        <v>3</v>
      </c>
      <c r="CO174" s="24">
        <v>3</v>
      </c>
      <c r="CP174" s="24">
        <v>4</v>
      </c>
      <c r="CQ174" s="24">
        <v>4</v>
      </c>
      <c r="CR174" s="24">
        <v>3</v>
      </c>
      <c r="CS174" s="24">
        <v>3</v>
      </c>
      <c r="CT174" s="24">
        <v>3</v>
      </c>
      <c r="CU174" s="24">
        <v>3</v>
      </c>
      <c r="CV174" s="24">
        <v>3</v>
      </c>
      <c r="CW174" s="24">
        <v>3</v>
      </c>
      <c r="CX174" s="24">
        <v>3</v>
      </c>
      <c r="CY174" s="24">
        <v>3</v>
      </c>
      <c r="CZ174" s="24">
        <v>3</v>
      </c>
      <c r="DA174" s="24">
        <v>3</v>
      </c>
      <c r="DB174" s="24" t="s">
        <v>342</v>
      </c>
      <c r="DC174" s="24">
        <v>3</v>
      </c>
      <c r="DD174" s="24" t="s">
        <v>363</v>
      </c>
      <c r="DE174" s="24" t="s">
        <v>136</v>
      </c>
      <c r="DF174" s="24">
        <v>3</v>
      </c>
      <c r="DG174" s="24">
        <v>3</v>
      </c>
      <c r="DH174" s="24">
        <v>3</v>
      </c>
      <c r="DI174" s="24" t="s">
        <v>403</v>
      </c>
      <c r="DJ174" s="24" t="s">
        <v>435</v>
      </c>
      <c r="DK174" s="24" t="s">
        <v>137</v>
      </c>
    </row>
    <row r="175" spans="1:115" ht="22.5" customHeight="1" x14ac:dyDescent="0.2">
      <c r="A175" s="23">
        <v>46079.507645763893</v>
      </c>
      <c r="B175" s="24" t="s">
        <v>1543</v>
      </c>
      <c r="C175" s="24">
        <v>0</v>
      </c>
      <c r="D175" s="24" t="s">
        <v>1544</v>
      </c>
      <c r="E175" s="24" t="s">
        <v>1545</v>
      </c>
      <c r="F175" s="24" t="s">
        <v>163</v>
      </c>
      <c r="G175" s="24">
        <v>62</v>
      </c>
      <c r="H175" s="25" t="s">
        <v>1546</v>
      </c>
      <c r="I175" s="24" t="s">
        <v>194</v>
      </c>
      <c r="J175" s="24" t="s">
        <v>133</v>
      </c>
      <c r="K175" s="24" t="s">
        <v>302</v>
      </c>
      <c r="M175" s="24" t="s">
        <v>136</v>
      </c>
      <c r="N175" s="24" t="s">
        <v>264</v>
      </c>
      <c r="O175" s="24" t="s">
        <v>199</v>
      </c>
      <c r="P175" s="24" t="s">
        <v>156</v>
      </c>
      <c r="Q175" s="24" t="s">
        <v>215</v>
      </c>
      <c r="R175" s="24" t="s">
        <v>443</v>
      </c>
      <c r="S175" s="24" t="s">
        <v>255</v>
      </c>
      <c r="T175" s="24" t="s">
        <v>136</v>
      </c>
      <c r="U175" s="24" t="s">
        <v>202</v>
      </c>
      <c r="V175" s="24" t="s">
        <v>199</v>
      </c>
      <c r="AI175" s="24" t="s">
        <v>219</v>
      </c>
      <c r="AJ175" s="24" t="s">
        <v>136</v>
      </c>
      <c r="AK175" s="24" t="s">
        <v>136</v>
      </c>
      <c r="AL175" s="24" t="s">
        <v>156</v>
      </c>
      <c r="AM175" s="24" t="s">
        <v>136</v>
      </c>
      <c r="AN175" s="24" t="s">
        <v>156</v>
      </c>
      <c r="AO175" s="24" t="s">
        <v>156</v>
      </c>
      <c r="AP175" s="24" t="s">
        <v>136</v>
      </c>
      <c r="AQ175" s="24" t="s">
        <v>136</v>
      </c>
      <c r="BF175" s="24" t="s">
        <v>167</v>
      </c>
      <c r="BG175" s="24" t="s">
        <v>136</v>
      </c>
      <c r="BI175" s="24" t="s">
        <v>1547</v>
      </c>
      <c r="BJ175" s="24" t="s">
        <v>136</v>
      </c>
      <c r="BK175" s="24" t="s">
        <v>396</v>
      </c>
      <c r="BL175" s="24" t="s">
        <v>1548</v>
      </c>
      <c r="BM175" s="24" t="s">
        <v>714</v>
      </c>
      <c r="BN175" s="24" t="s">
        <v>167</v>
      </c>
      <c r="BO175" s="24" t="s">
        <v>136</v>
      </c>
      <c r="BR175" s="24" t="s">
        <v>226</v>
      </c>
      <c r="BS175" s="24" t="s">
        <v>272</v>
      </c>
      <c r="BT175" s="24" t="s">
        <v>170</v>
      </c>
      <c r="CB175" s="24" t="s">
        <v>267</v>
      </c>
      <c r="CC175" s="24" t="s">
        <v>150</v>
      </c>
      <c r="CD175" s="24" t="s">
        <v>229</v>
      </c>
      <c r="CE175" s="24" t="s">
        <v>152</v>
      </c>
      <c r="CF175" s="24" t="s">
        <v>153</v>
      </c>
      <c r="CG175" s="24">
        <v>4</v>
      </c>
      <c r="CH175" s="24" t="s">
        <v>244</v>
      </c>
      <c r="CI175" s="24" t="s">
        <v>206</v>
      </c>
      <c r="CJ175" s="24" t="s">
        <v>136</v>
      </c>
      <c r="CK175" s="24" t="s">
        <v>488</v>
      </c>
      <c r="CL175" s="24">
        <v>1</v>
      </c>
      <c r="CM175" s="24">
        <v>1</v>
      </c>
      <c r="CN175" s="24">
        <v>2</v>
      </c>
      <c r="CO175" s="24">
        <v>4</v>
      </c>
      <c r="CP175" s="24">
        <v>2</v>
      </c>
      <c r="CQ175" s="24">
        <v>2</v>
      </c>
      <c r="CR175" s="24">
        <v>3</v>
      </c>
      <c r="CS175" s="24">
        <v>4</v>
      </c>
      <c r="CT175" s="24">
        <v>3</v>
      </c>
      <c r="CU175" s="24">
        <v>3</v>
      </c>
      <c r="CV175" s="24">
        <v>4</v>
      </c>
      <c r="CW175" s="24">
        <v>2</v>
      </c>
      <c r="CX175" s="24">
        <v>3</v>
      </c>
      <c r="CY175" s="24">
        <v>4</v>
      </c>
      <c r="CZ175" s="24">
        <v>1</v>
      </c>
      <c r="DA175" s="24">
        <v>1</v>
      </c>
      <c r="DB175" s="24" t="s">
        <v>288</v>
      </c>
      <c r="DC175" s="24">
        <v>3</v>
      </c>
      <c r="DD175" s="24" t="s">
        <v>268</v>
      </c>
      <c r="DE175" s="24" t="s">
        <v>136</v>
      </c>
      <c r="DF175" s="24">
        <v>3</v>
      </c>
      <c r="DG175" s="24">
        <v>2</v>
      </c>
      <c r="DH175" s="24">
        <v>2</v>
      </c>
      <c r="DI175" s="24" t="s">
        <v>1125</v>
      </c>
      <c r="DJ175" s="24" t="s">
        <v>210</v>
      </c>
      <c r="DK175" s="24" t="s">
        <v>137</v>
      </c>
    </row>
    <row r="176" spans="1:115" ht="22.5" customHeight="1" x14ac:dyDescent="0.2">
      <c r="A176" s="23">
        <v>46079.511091319444</v>
      </c>
      <c r="B176" s="24" t="s">
        <v>1549</v>
      </c>
      <c r="C176" s="24">
        <v>0</v>
      </c>
      <c r="D176" s="24" t="s">
        <v>1550</v>
      </c>
      <c r="E176" s="24" t="s">
        <v>1551</v>
      </c>
      <c r="F176" s="24" t="s">
        <v>128</v>
      </c>
      <c r="G176" s="24">
        <v>61</v>
      </c>
      <c r="H176" s="25" t="s">
        <v>1552</v>
      </c>
      <c r="I176" s="24" t="s">
        <v>194</v>
      </c>
      <c r="J176" s="24" t="s">
        <v>301</v>
      </c>
      <c r="K176" s="24" t="s">
        <v>302</v>
      </c>
      <c r="M176" s="24" t="s">
        <v>136</v>
      </c>
      <c r="N176" s="24" t="s">
        <v>425</v>
      </c>
      <c r="O176" s="24" t="s">
        <v>199</v>
      </c>
      <c r="P176" s="24" t="s">
        <v>136</v>
      </c>
      <c r="Q176" s="24" t="s">
        <v>502</v>
      </c>
      <c r="R176" s="24" t="s">
        <v>199</v>
      </c>
      <c r="S176" s="24" t="s">
        <v>313</v>
      </c>
      <c r="T176" s="24" t="s">
        <v>136</v>
      </c>
      <c r="U176" s="24" t="s">
        <v>356</v>
      </c>
      <c r="V176" s="24" t="s">
        <v>199</v>
      </c>
      <c r="AI176" s="24" t="s">
        <v>304</v>
      </c>
      <c r="AJ176" s="24" t="s">
        <v>136</v>
      </c>
      <c r="AK176" s="24" t="s">
        <v>136</v>
      </c>
      <c r="AL176" s="24" t="s">
        <v>136</v>
      </c>
      <c r="AM176" s="24" t="s">
        <v>136</v>
      </c>
      <c r="AN176" s="24" t="s">
        <v>136</v>
      </c>
      <c r="AO176" s="24" t="s">
        <v>136</v>
      </c>
      <c r="AP176" s="24" t="s">
        <v>136</v>
      </c>
      <c r="AQ176" s="24" t="s">
        <v>136</v>
      </c>
      <c r="BU176" s="24" t="s">
        <v>167</v>
      </c>
      <c r="BV176" s="24" t="s">
        <v>136</v>
      </c>
      <c r="BW176" s="24" t="s">
        <v>1553</v>
      </c>
      <c r="BX176" s="24" t="s">
        <v>137</v>
      </c>
      <c r="BY176" s="24" t="s">
        <v>536</v>
      </c>
      <c r="BZ176" s="24" t="s">
        <v>307</v>
      </c>
      <c r="CA176" s="24" t="s">
        <v>308</v>
      </c>
      <c r="CB176" s="24" t="s">
        <v>149</v>
      </c>
      <c r="CC176" s="24" t="s">
        <v>242</v>
      </c>
      <c r="CD176" s="24" t="s">
        <v>151</v>
      </c>
      <c r="CE176" s="24" t="s">
        <v>204</v>
      </c>
      <c r="CF176" s="24" t="s">
        <v>243</v>
      </c>
      <c r="CG176" s="24">
        <v>4</v>
      </c>
      <c r="CH176" s="24" t="s">
        <v>244</v>
      </c>
      <c r="CI176" s="24" t="s">
        <v>206</v>
      </c>
      <c r="CJ176" s="24" t="s">
        <v>136</v>
      </c>
      <c r="CK176" s="24" t="s">
        <v>438</v>
      </c>
      <c r="CL176" s="24">
        <v>2</v>
      </c>
      <c r="CM176" s="24">
        <v>2</v>
      </c>
      <c r="CN176" s="24">
        <v>3</v>
      </c>
      <c r="CO176" s="24">
        <v>3</v>
      </c>
      <c r="CP176" s="24">
        <v>2</v>
      </c>
      <c r="CQ176" s="24">
        <v>2</v>
      </c>
      <c r="CR176" s="24">
        <v>2</v>
      </c>
      <c r="CS176" s="24">
        <v>3</v>
      </c>
      <c r="CT176" s="24">
        <v>4</v>
      </c>
      <c r="CU176" s="24">
        <v>3</v>
      </c>
      <c r="CV176" s="24">
        <v>2</v>
      </c>
      <c r="CW176" s="24">
        <v>2</v>
      </c>
      <c r="CX176" s="24">
        <v>2</v>
      </c>
      <c r="CY176" s="24">
        <v>2</v>
      </c>
      <c r="CZ176" s="24">
        <v>2</v>
      </c>
      <c r="DA176" s="24">
        <v>2</v>
      </c>
      <c r="DB176" s="24" t="s">
        <v>379</v>
      </c>
      <c r="DC176" s="24">
        <v>2</v>
      </c>
      <c r="DD176" s="24" t="s">
        <v>248</v>
      </c>
      <c r="DE176" s="24" t="s">
        <v>136</v>
      </c>
      <c r="DF176" s="24">
        <v>3</v>
      </c>
      <c r="DG176" s="24">
        <v>3</v>
      </c>
      <c r="DH176" s="24">
        <v>3</v>
      </c>
      <c r="DI176" s="24" t="s">
        <v>789</v>
      </c>
      <c r="DJ176" s="24" t="s">
        <v>210</v>
      </c>
      <c r="DK176" s="24" t="s">
        <v>1554</v>
      </c>
    </row>
    <row r="177" spans="1:115" ht="22.5" customHeight="1" x14ac:dyDescent="0.2">
      <c r="A177" s="23">
        <v>46079.515699293981</v>
      </c>
      <c r="B177" s="24" t="s">
        <v>1350</v>
      </c>
      <c r="C177" s="24">
        <v>0</v>
      </c>
      <c r="D177" s="24" t="s">
        <v>1351</v>
      </c>
      <c r="E177" s="24" t="s">
        <v>1352</v>
      </c>
      <c r="F177" s="24" t="s">
        <v>128</v>
      </c>
      <c r="G177" s="24">
        <v>60</v>
      </c>
      <c r="H177" s="25" t="s">
        <v>1353</v>
      </c>
      <c r="I177" s="24" t="s">
        <v>194</v>
      </c>
      <c r="J177" s="24" t="s">
        <v>133</v>
      </c>
      <c r="K177" s="24" t="s">
        <v>302</v>
      </c>
      <c r="M177" s="24" t="s">
        <v>136</v>
      </c>
      <c r="N177" s="24" t="s">
        <v>264</v>
      </c>
      <c r="O177" s="24" t="s">
        <v>199</v>
      </c>
      <c r="P177" s="24" t="s">
        <v>136</v>
      </c>
      <c r="Q177" s="24" t="s">
        <v>502</v>
      </c>
      <c r="R177" s="24" t="s">
        <v>199</v>
      </c>
      <c r="S177" s="24" t="s">
        <v>277</v>
      </c>
      <c r="T177" s="24" t="s">
        <v>136</v>
      </c>
      <c r="U177" s="24" t="s">
        <v>241</v>
      </c>
      <c r="V177" s="24" t="s">
        <v>199</v>
      </c>
      <c r="AI177" s="24" t="s">
        <v>203</v>
      </c>
      <c r="AJ177" s="24" t="s">
        <v>136</v>
      </c>
      <c r="AK177" s="24" t="s">
        <v>136</v>
      </c>
      <c r="AL177" s="24" t="s">
        <v>136</v>
      </c>
      <c r="AM177" s="24" t="s">
        <v>136</v>
      </c>
      <c r="AN177" s="24" t="s">
        <v>136</v>
      </c>
      <c r="AO177" s="24" t="s">
        <v>136</v>
      </c>
      <c r="AP177" s="24" t="s">
        <v>136</v>
      </c>
      <c r="AQ177" s="24" t="s">
        <v>156</v>
      </c>
      <c r="CB177" s="24" t="s">
        <v>267</v>
      </c>
      <c r="CC177" s="24" t="s">
        <v>150</v>
      </c>
      <c r="CD177" s="24" t="s">
        <v>171</v>
      </c>
      <c r="CE177" s="24" t="s">
        <v>204</v>
      </c>
      <c r="CF177" s="24" t="s">
        <v>153</v>
      </c>
      <c r="CG177" s="24">
        <v>4</v>
      </c>
      <c r="CH177" s="24" t="s">
        <v>154</v>
      </c>
      <c r="CI177" s="24" t="s">
        <v>365</v>
      </c>
      <c r="CJ177" s="24" t="s">
        <v>156</v>
      </c>
      <c r="CK177" s="24" t="s">
        <v>207</v>
      </c>
      <c r="CL177" s="24">
        <v>2</v>
      </c>
      <c r="CM177" s="24">
        <v>2</v>
      </c>
      <c r="CN177" s="24">
        <v>3</v>
      </c>
      <c r="CO177" s="24">
        <v>4</v>
      </c>
      <c r="CP177" s="24">
        <v>1</v>
      </c>
      <c r="CQ177" s="24">
        <v>1</v>
      </c>
      <c r="CR177" s="24">
        <v>1</v>
      </c>
      <c r="CS177" s="24">
        <v>3</v>
      </c>
      <c r="CT177" s="24">
        <v>1</v>
      </c>
      <c r="CU177" s="24">
        <v>3</v>
      </c>
      <c r="CV177" s="24">
        <v>3</v>
      </c>
      <c r="CW177" s="24">
        <v>1</v>
      </c>
      <c r="CX177" s="24">
        <v>3</v>
      </c>
      <c r="CY177" s="24">
        <v>3</v>
      </c>
      <c r="CZ177" s="24">
        <v>1</v>
      </c>
      <c r="DA177" s="24">
        <v>1</v>
      </c>
      <c r="DB177" s="24" t="s">
        <v>342</v>
      </c>
      <c r="DC177" s="24">
        <v>4</v>
      </c>
      <c r="DD177" s="24" t="s">
        <v>330</v>
      </c>
      <c r="DE177" s="24" t="s">
        <v>156</v>
      </c>
      <c r="DJ177" s="24" t="s">
        <v>159</v>
      </c>
      <c r="DK177" s="24" t="s">
        <v>137</v>
      </c>
    </row>
    <row r="178" spans="1:115" ht="22.5" customHeight="1" x14ac:dyDescent="0.2">
      <c r="A178" s="23">
        <v>46079.554156493061</v>
      </c>
      <c r="B178" s="24" t="s">
        <v>1555</v>
      </c>
      <c r="C178" s="24">
        <v>0</v>
      </c>
      <c r="D178" s="24" t="s">
        <v>1556</v>
      </c>
      <c r="E178" s="24" t="s">
        <v>1557</v>
      </c>
      <c r="F178" s="24" t="s">
        <v>163</v>
      </c>
      <c r="G178" s="24">
        <v>61</v>
      </c>
      <c r="H178" s="25" t="s">
        <v>1558</v>
      </c>
      <c r="I178" s="24" t="s">
        <v>194</v>
      </c>
      <c r="J178" s="24" t="s">
        <v>301</v>
      </c>
      <c r="K178" s="24" t="s">
        <v>302</v>
      </c>
      <c r="M178" s="24" t="s">
        <v>156</v>
      </c>
      <c r="N178" s="24" t="s">
        <v>215</v>
      </c>
      <c r="O178" s="24" t="s">
        <v>360</v>
      </c>
      <c r="P178" s="24" t="s">
        <v>156</v>
      </c>
      <c r="Q178" s="24" t="s">
        <v>215</v>
      </c>
      <c r="R178" s="24" t="s">
        <v>318</v>
      </c>
      <c r="S178" s="24" t="s">
        <v>266</v>
      </c>
      <c r="T178" s="24" t="s">
        <v>136</v>
      </c>
      <c r="U178" s="24" t="s">
        <v>356</v>
      </c>
      <c r="V178" s="24" t="s">
        <v>199</v>
      </c>
      <c r="AI178" s="24" t="s">
        <v>144</v>
      </c>
      <c r="AJ178" s="24" t="s">
        <v>136</v>
      </c>
      <c r="AK178" s="24" t="s">
        <v>136</v>
      </c>
      <c r="AL178" s="24" t="s">
        <v>136</v>
      </c>
      <c r="AM178" s="24" t="s">
        <v>136</v>
      </c>
      <c r="AN178" s="24" t="s">
        <v>136</v>
      </c>
      <c r="AO178" s="24" t="s">
        <v>136</v>
      </c>
      <c r="AP178" s="24" t="s">
        <v>136</v>
      </c>
      <c r="AQ178" s="24" t="s">
        <v>136</v>
      </c>
      <c r="BN178" s="24" t="s">
        <v>346</v>
      </c>
      <c r="BO178" s="24" t="s">
        <v>136</v>
      </c>
      <c r="BR178" s="24" t="s">
        <v>168</v>
      </c>
      <c r="BS178" s="24" t="s">
        <v>169</v>
      </c>
      <c r="BT178" s="24" t="s">
        <v>227</v>
      </c>
      <c r="CB178" s="24" t="s">
        <v>267</v>
      </c>
      <c r="CC178" s="24" t="s">
        <v>242</v>
      </c>
      <c r="CD178" s="24" t="s">
        <v>171</v>
      </c>
      <c r="CE178" s="24" t="s">
        <v>152</v>
      </c>
      <c r="CF178" s="24" t="s">
        <v>243</v>
      </c>
      <c r="CG178" s="24">
        <v>4</v>
      </c>
      <c r="CH178" s="24" t="s">
        <v>244</v>
      </c>
      <c r="CI178" s="24" t="s">
        <v>173</v>
      </c>
      <c r="CJ178" s="24" t="s">
        <v>136</v>
      </c>
      <c r="CK178" s="24" t="s">
        <v>279</v>
      </c>
      <c r="CL178" s="24">
        <v>4</v>
      </c>
      <c r="CM178" s="24">
        <v>3</v>
      </c>
      <c r="CN178" s="24">
        <v>3</v>
      </c>
      <c r="CO178" s="24">
        <v>3</v>
      </c>
      <c r="CP178" s="24">
        <v>5</v>
      </c>
      <c r="CQ178" s="24">
        <v>4</v>
      </c>
      <c r="CR178" s="24">
        <v>4</v>
      </c>
      <c r="CS178" s="24">
        <v>4</v>
      </c>
      <c r="CT178" s="24">
        <v>4</v>
      </c>
      <c r="CU178" s="24">
        <v>4</v>
      </c>
      <c r="CV178" s="24">
        <v>4</v>
      </c>
      <c r="CW178" s="24">
        <v>4</v>
      </c>
      <c r="CX178" s="24">
        <v>4</v>
      </c>
      <c r="CY178" s="24">
        <v>4</v>
      </c>
      <c r="CZ178" s="24">
        <v>4</v>
      </c>
      <c r="DA178" s="24">
        <v>4</v>
      </c>
      <c r="DB178" s="24" t="s">
        <v>247</v>
      </c>
      <c r="DC178" s="24">
        <v>4</v>
      </c>
      <c r="DD178" s="24" t="s">
        <v>296</v>
      </c>
      <c r="DE178" s="24" t="s">
        <v>156</v>
      </c>
      <c r="DJ178" s="24" t="s">
        <v>316</v>
      </c>
      <c r="DK178" s="24" t="s">
        <v>137</v>
      </c>
    </row>
    <row r="179" spans="1:115" ht="22.5" customHeight="1" x14ac:dyDescent="0.2">
      <c r="A179" s="23">
        <v>46079.562142222218</v>
      </c>
      <c r="B179" s="24" t="s">
        <v>1559</v>
      </c>
      <c r="C179" s="24">
        <v>0</v>
      </c>
      <c r="D179" s="24" t="s">
        <v>1560</v>
      </c>
      <c r="E179" s="24" t="s">
        <v>1561</v>
      </c>
      <c r="F179" s="24" t="s">
        <v>128</v>
      </c>
      <c r="G179" s="24">
        <v>61</v>
      </c>
      <c r="H179" s="25" t="s">
        <v>1562</v>
      </c>
      <c r="I179" s="24" t="s">
        <v>194</v>
      </c>
      <c r="J179" s="24" t="s">
        <v>133</v>
      </c>
      <c r="K179" s="24" t="s">
        <v>302</v>
      </c>
      <c r="M179" s="24" t="s">
        <v>136</v>
      </c>
      <c r="N179" s="24" t="s">
        <v>240</v>
      </c>
      <c r="O179" s="24" t="s">
        <v>199</v>
      </c>
      <c r="P179" s="24" t="s">
        <v>156</v>
      </c>
      <c r="Q179" s="24" t="s">
        <v>215</v>
      </c>
      <c r="R179" s="24" t="s">
        <v>270</v>
      </c>
      <c r="S179" s="24" t="s">
        <v>266</v>
      </c>
      <c r="T179" s="24" t="s">
        <v>136</v>
      </c>
      <c r="U179" s="24" t="s">
        <v>241</v>
      </c>
      <c r="V179" s="24" t="s">
        <v>199</v>
      </c>
      <c r="AI179" s="24" t="s">
        <v>304</v>
      </c>
      <c r="AJ179" s="24" t="s">
        <v>136</v>
      </c>
      <c r="AK179" s="24" t="s">
        <v>136</v>
      </c>
      <c r="AL179" s="24" t="s">
        <v>136</v>
      </c>
      <c r="AM179" s="24" t="s">
        <v>156</v>
      </c>
      <c r="AN179" s="24" t="s">
        <v>136</v>
      </c>
      <c r="AO179" s="24" t="s">
        <v>136</v>
      </c>
      <c r="AP179" s="24" t="s">
        <v>136</v>
      </c>
      <c r="AQ179" s="24" t="s">
        <v>136</v>
      </c>
      <c r="BU179" s="24" t="s">
        <v>305</v>
      </c>
      <c r="BV179" s="24" t="s">
        <v>136</v>
      </c>
      <c r="BW179" s="24" t="s">
        <v>1563</v>
      </c>
      <c r="BY179" s="24" t="s">
        <v>376</v>
      </c>
      <c r="BZ179" s="24" t="s">
        <v>337</v>
      </c>
      <c r="CA179" s="24" t="s">
        <v>338</v>
      </c>
      <c r="CB179" s="24" t="s">
        <v>149</v>
      </c>
      <c r="CC179" s="24" t="s">
        <v>150</v>
      </c>
      <c r="CD179" s="24" t="s">
        <v>229</v>
      </c>
      <c r="CE179" s="24" t="s">
        <v>152</v>
      </c>
      <c r="CF179" s="24" t="s">
        <v>153</v>
      </c>
      <c r="CG179" s="24">
        <v>4</v>
      </c>
      <c r="CH179" s="24" t="s">
        <v>244</v>
      </c>
      <c r="CI179" s="24" t="s">
        <v>278</v>
      </c>
      <c r="CJ179" s="24" t="s">
        <v>136</v>
      </c>
      <c r="CK179" s="24" t="s">
        <v>279</v>
      </c>
      <c r="CL179" s="24">
        <v>4</v>
      </c>
      <c r="CM179" s="24">
        <v>4</v>
      </c>
      <c r="CN179" s="24">
        <v>4</v>
      </c>
      <c r="CO179" s="24">
        <v>4</v>
      </c>
      <c r="CP179" s="24">
        <v>4</v>
      </c>
      <c r="CQ179" s="24">
        <v>3</v>
      </c>
      <c r="CR179" s="24">
        <v>4</v>
      </c>
      <c r="CS179" s="24">
        <v>4</v>
      </c>
      <c r="CT179" s="24">
        <v>3</v>
      </c>
      <c r="CU179" s="24">
        <v>4</v>
      </c>
      <c r="CV179" s="24">
        <v>4</v>
      </c>
      <c r="CW179" s="24">
        <v>3</v>
      </c>
      <c r="CX179" s="24">
        <v>4</v>
      </c>
      <c r="CY179" s="24">
        <v>4</v>
      </c>
      <c r="CZ179" s="24">
        <v>4</v>
      </c>
      <c r="DA179" s="24">
        <v>3</v>
      </c>
      <c r="DB179" s="24" t="s">
        <v>247</v>
      </c>
      <c r="DC179" s="24">
        <v>4</v>
      </c>
      <c r="DD179" s="24" t="s">
        <v>363</v>
      </c>
      <c r="DE179" s="24" t="s">
        <v>136</v>
      </c>
      <c r="DF179" s="24">
        <v>4</v>
      </c>
      <c r="DG179" s="24">
        <v>4</v>
      </c>
      <c r="DH179" s="24">
        <v>3</v>
      </c>
      <c r="DI179" s="24" t="s">
        <v>354</v>
      </c>
      <c r="DJ179" s="24" t="s">
        <v>316</v>
      </c>
      <c r="DK179" s="24" t="s">
        <v>1564</v>
      </c>
    </row>
    <row r="180" spans="1:115" ht="22.5" customHeight="1" x14ac:dyDescent="0.2">
      <c r="A180" s="23">
        <v>46079.575014120375</v>
      </c>
      <c r="B180" s="24" t="s">
        <v>1565</v>
      </c>
      <c r="C180" s="24">
        <v>0</v>
      </c>
      <c r="D180" s="24" t="s">
        <v>1566</v>
      </c>
      <c r="E180" s="24" t="s">
        <v>1567</v>
      </c>
      <c r="F180" s="24" t="s">
        <v>128</v>
      </c>
      <c r="G180" s="24">
        <v>61</v>
      </c>
      <c r="H180" s="25" t="s">
        <v>1568</v>
      </c>
      <c r="I180" s="24" t="s">
        <v>132</v>
      </c>
      <c r="J180" s="24" t="s">
        <v>133</v>
      </c>
      <c r="K180" s="24" t="s">
        <v>302</v>
      </c>
      <c r="M180" s="24" t="s">
        <v>136</v>
      </c>
      <c r="N180" s="24" t="s">
        <v>264</v>
      </c>
      <c r="O180" s="24" t="s">
        <v>199</v>
      </c>
      <c r="P180" s="24" t="s">
        <v>156</v>
      </c>
      <c r="Q180" s="24" t="s">
        <v>215</v>
      </c>
      <c r="R180" s="24" t="s">
        <v>217</v>
      </c>
      <c r="S180" s="24" t="s">
        <v>255</v>
      </c>
      <c r="T180" s="24" t="s">
        <v>136</v>
      </c>
      <c r="U180" s="24" t="s">
        <v>202</v>
      </c>
      <c r="V180" s="24" t="s">
        <v>199</v>
      </c>
      <c r="AI180" s="24" t="s">
        <v>144</v>
      </c>
      <c r="AJ180" s="24" t="s">
        <v>156</v>
      </c>
      <c r="AK180" s="24" t="s">
        <v>136</v>
      </c>
      <c r="AL180" s="24" t="s">
        <v>136</v>
      </c>
      <c r="AM180" s="24" t="s">
        <v>156</v>
      </c>
      <c r="AN180" s="24" t="s">
        <v>136</v>
      </c>
      <c r="AO180" s="24" t="s">
        <v>136</v>
      </c>
      <c r="AP180" s="24" t="s">
        <v>136</v>
      </c>
      <c r="AQ180" s="24" t="s">
        <v>136</v>
      </c>
      <c r="BN180" s="24" t="s">
        <v>305</v>
      </c>
      <c r="BO180" s="24" t="s">
        <v>136</v>
      </c>
      <c r="BP180" s="24" t="s">
        <v>1569</v>
      </c>
      <c r="BR180" s="24" t="s">
        <v>168</v>
      </c>
      <c r="BS180" s="24" t="s">
        <v>169</v>
      </c>
      <c r="BT180" s="24" t="s">
        <v>148</v>
      </c>
      <c r="CB180" s="24" t="s">
        <v>149</v>
      </c>
      <c r="CC180" s="24" t="s">
        <v>242</v>
      </c>
      <c r="CD180" s="24" t="s">
        <v>171</v>
      </c>
      <c r="CE180" s="24" t="s">
        <v>204</v>
      </c>
      <c r="CF180" s="24" t="s">
        <v>153</v>
      </c>
      <c r="CG180" s="24">
        <v>4</v>
      </c>
      <c r="CH180" s="24" t="s">
        <v>154</v>
      </c>
      <c r="CI180" s="24" t="s">
        <v>287</v>
      </c>
      <c r="CJ180" s="24" t="s">
        <v>136</v>
      </c>
      <c r="CK180" s="24" t="s">
        <v>279</v>
      </c>
      <c r="CL180" s="24">
        <v>3</v>
      </c>
      <c r="CM180" s="24">
        <v>3</v>
      </c>
      <c r="CN180" s="24">
        <v>4</v>
      </c>
      <c r="CO180" s="24">
        <v>4</v>
      </c>
      <c r="CP180" s="24">
        <v>4</v>
      </c>
      <c r="CQ180" s="24">
        <v>4</v>
      </c>
      <c r="CR180" s="24">
        <v>4</v>
      </c>
      <c r="CS180" s="24">
        <v>3</v>
      </c>
      <c r="CT180" s="24">
        <v>4</v>
      </c>
      <c r="CU180" s="24">
        <v>4</v>
      </c>
      <c r="CV180" s="24">
        <v>4</v>
      </c>
      <c r="CW180" s="24">
        <v>4</v>
      </c>
      <c r="CX180" s="24">
        <v>4</v>
      </c>
      <c r="CY180" s="24">
        <v>4</v>
      </c>
      <c r="CZ180" s="24">
        <v>4</v>
      </c>
      <c r="DA180" s="24">
        <v>4</v>
      </c>
      <c r="DB180" s="24" t="s">
        <v>1188</v>
      </c>
      <c r="DC180" s="24">
        <v>4</v>
      </c>
      <c r="DD180" s="24" t="s">
        <v>157</v>
      </c>
      <c r="DE180" s="24" t="s">
        <v>136</v>
      </c>
      <c r="DF180" s="24">
        <v>4</v>
      </c>
      <c r="DG180" s="24">
        <v>4</v>
      </c>
      <c r="DH180" s="24">
        <v>4</v>
      </c>
      <c r="DI180" s="24" t="s">
        <v>1134</v>
      </c>
      <c r="DJ180" s="24" t="s">
        <v>316</v>
      </c>
      <c r="DK180" s="24" t="s">
        <v>137</v>
      </c>
    </row>
    <row r="181" spans="1:115" ht="22.5" customHeight="1" x14ac:dyDescent="0.2">
      <c r="A181" s="23">
        <v>46079.646908807874</v>
      </c>
      <c r="B181" s="24" t="s">
        <v>1570</v>
      </c>
      <c r="C181" s="24">
        <v>0</v>
      </c>
      <c r="D181" s="24" t="s">
        <v>1571</v>
      </c>
      <c r="E181" s="24" t="s">
        <v>1572</v>
      </c>
      <c r="F181" s="24" t="s">
        <v>163</v>
      </c>
      <c r="G181" s="24">
        <v>62</v>
      </c>
      <c r="H181" s="25" t="s">
        <v>1573</v>
      </c>
      <c r="I181" s="24" t="s">
        <v>132</v>
      </c>
      <c r="J181" s="24" t="s">
        <v>301</v>
      </c>
      <c r="K181" s="24" t="s">
        <v>135</v>
      </c>
      <c r="M181" s="24" t="s">
        <v>136</v>
      </c>
      <c r="N181" s="24" t="s">
        <v>198</v>
      </c>
      <c r="O181" s="24" t="s">
        <v>199</v>
      </c>
      <c r="P181" s="24" t="s">
        <v>136</v>
      </c>
      <c r="Q181" s="24" t="s">
        <v>502</v>
      </c>
      <c r="R181" s="24" t="s">
        <v>199</v>
      </c>
      <c r="S181" s="24" t="s">
        <v>266</v>
      </c>
      <c r="T181" s="24" t="s">
        <v>136</v>
      </c>
      <c r="U181" s="24" t="s">
        <v>256</v>
      </c>
      <c r="V181" s="24" t="s">
        <v>199</v>
      </c>
      <c r="AI181" s="24" t="s">
        <v>304</v>
      </c>
      <c r="AJ181" s="24" t="s">
        <v>136</v>
      </c>
      <c r="AK181" s="24" t="s">
        <v>136</v>
      </c>
      <c r="AL181" s="24" t="s">
        <v>136</v>
      </c>
      <c r="AM181" s="24" t="s">
        <v>156</v>
      </c>
      <c r="AN181" s="24" t="s">
        <v>136</v>
      </c>
      <c r="AO181" s="24" t="s">
        <v>136</v>
      </c>
      <c r="AP181" s="24" t="s">
        <v>136</v>
      </c>
      <c r="AQ181" s="24" t="s">
        <v>136</v>
      </c>
      <c r="BU181" s="24" t="s">
        <v>305</v>
      </c>
      <c r="BV181" s="24" t="s">
        <v>136</v>
      </c>
      <c r="BW181" s="24" t="s">
        <v>1574</v>
      </c>
      <c r="BY181" s="24" t="s">
        <v>336</v>
      </c>
      <c r="BZ181" s="24" t="s">
        <v>337</v>
      </c>
      <c r="CA181" s="24" t="s">
        <v>308</v>
      </c>
      <c r="CB181" s="24" t="s">
        <v>149</v>
      </c>
      <c r="CC181" s="24" t="s">
        <v>150</v>
      </c>
      <c r="CD181" s="24" t="s">
        <v>151</v>
      </c>
      <c r="CE181" s="24" t="s">
        <v>152</v>
      </c>
      <c r="CF181" s="24" t="s">
        <v>243</v>
      </c>
      <c r="CG181" s="24">
        <v>4</v>
      </c>
      <c r="CH181" s="24" t="s">
        <v>244</v>
      </c>
      <c r="CI181" s="24" t="s">
        <v>287</v>
      </c>
      <c r="CJ181" s="24" t="s">
        <v>156</v>
      </c>
      <c r="CK181" s="24" t="s">
        <v>231</v>
      </c>
      <c r="CL181" s="24">
        <v>3</v>
      </c>
      <c r="CM181" s="24">
        <v>2</v>
      </c>
      <c r="CN181" s="24">
        <v>3</v>
      </c>
      <c r="CO181" s="24">
        <v>4</v>
      </c>
      <c r="CP181" s="24">
        <v>3</v>
      </c>
      <c r="CQ181" s="24">
        <v>3</v>
      </c>
      <c r="CR181" s="24">
        <v>3</v>
      </c>
      <c r="CS181" s="24">
        <v>3</v>
      </c>
      <c r="CT181" s="24">
        <v>3</v>
      </c>
      <c r="CU181" s="24">
        <v>3</v>
      </c>
      <c r="CV181" s="24">
        <v>3</v>
      </c>
      <c r="CW181" s="24">
        <v>3</v>
      </c>
      <c r="CX181" s="24">
        <v>3</v>
      </c>
      <c r="CY181" s="24">
        <v>3</v>
      </c>
      <c r="CZ181" s="24">
        <v>2</v>
      </c>
      <c r="DA181" s="24">
        <v>2</v>
      </c>
      <c r="DB181" s="24" t="s">
        <v>383</v>
      </c>
      <c r="DC181" s="24">
        <v>4</v>
      </c>
      <c r="DD181" s="24" t="s">
        <v>325</v>
      </c>
      <c r="DE181" s="24" t="s">
        <v>156</v>
      </c>
      <c r="DJ181" s="24" t="s">
        <v>210</v>
      </c>
      <c r="DK181" s="24" t="s">
        <v>1575</v>
      </c>
    </row>
    <row r="182" spans="1:115" ht="22.5" customHeight="1" x14ac:dyDescent="0.2">
      <c r="A182" s="23">
        <v>46079.78676555556</v>
      </c>
      <c r="B182" s="24" t="s">
        <v>1576</v>
      </c>
      <c r="C182" s="24">
        <v>0</v>
      </c>
      <c r="D182" s="24" t="s">
        <v>1577</v>
      </c>
      <c r="E182" s="24" t="s">
        <v>1578</v>
      </c>
      <c r="F182" s="24" t="s">
        <v>128</v>
      </c>
      <c r="G182" s="24">
        <v>62</v>
      </c>
      <c r="H182" s="25" t="s">
        <v>1579</v>
      </c>
      <c r="I182" s="24" t="s">
        <v>194</v>
      </c>
      <c r="J182" s="24" t="s">
        <v>133</v>
      </c>
      <c r="K182" s="24" t="s">
        <v>345</v>
      </c>
      <c r="M182" s="24" t="s">
        <v>136</v>
      </c>
      <c r="N182" s="24" t="s">
        <v>240</v>
      </c>
      <c r="O182" s="24" t="s">
        <v>199</v>
      </c>
      <c r="P182" s="24" t="s">
        <v>136</v>
      </c>
      <c r="Q182" s="24" t="s">
        <v>254</v>
      </c>
      <c r="R182" s="24" t="s">
        <v>199</v>
      </c>
      <c r="S182" s="24" t="s">
        <v>544</v>
      </c>
      <c r="T182" s="24" t="s">
        <v>136</v>
      </c>
      <c r="U182" s="24" t="s">
        <v>202</v>
      </c>
      <c r="V182" s="24" t="s">
        <v>199</v>
      </c>
      <c r="AI182" s="24" t="s">
        <v>304</v>
      </c>
      <c r="AJ182" s="24" t="s">
        <v>136</v>
      </c>
      <c r="AK182" s="24" t="s">
        <v>156</v>
      </c>
      <c r="AL182" s="24" t="s">
        <v>136</v>
      </c>
      <c r="AM182" s="24" t="s">
        <v>156</v>
      </c>
      <c r="AN182" s="24" t="s">
        <v>136</v>
      </c>
      <c r="AO182" s="24" t="s">
        <v>136</v>
      </c>
      <c r="AP182" s="24" t="s">
        <v>136</v>
      </c>
      <c r="AQ182" s="24" t="s">
        <v>136</v>
      </c>
      <c r="BU182" s="24" t="s">
        <v>167</v>
      </c>
      <c r="BV182" s="24" t="s">
        <v>156</v>
      </c>
      <c r="BX182" s="24" t="s">
        <v>1580</v>
      </c>
      <c r="BY182" s="24" t="s">
        <v>376</v>
      </c>
      <c r="BZ182" s="24" t="s">
        <v>722</v>
      </c>
      <c r="CA182" s="24" t="s">
        <v>377</v>
      </c>
      <c r="CB182" s="24" t="s">
        <v>267</v>
      </c>
      <c r="CC182" s="24" t="s">
        <v>242</v>
      </c>
      <c r="CD182" s="24" t="s">
        <v>322</v>
      </c>
      <c r="CE182" s="24" t="s">
        <v>152</v>
      </c>
      <c r="CF182" s="24" t="s">
        <v>243</v>
      </c>
      <c r="CG182" s="24">
        <v>4</v>
      </c>
      <c r="CH182" s="24" t="s">
        <v>481</v>
      </c>
      <c r="CI182" s="24" t="s">
        <v>398</v>
      </c>
      <c r="CJ182" s="24" t="s">
        <v>136</v>
      </c>
      <c r="CK182" s="24" t="s">
        <v>231</v>
      </c>
      <c r="CL182" s="24">
        <v>2</v>
      </c>
      <c r="CM182" s="24">
        <v>1</v>
      </c>
      <c r="CN182" s="24">
        <v>3</v>
      </c>
      <c r="CO182" s="24">
        <v>4</v>
      </c>
      <c r="CP182" s="24">
        <v>1</v>
      </c>
      <c r="CQ182" s="24">
        <v>1</v>
      </c>
      <c r="CR182" s="24">
        <v>3</v>
      </c>
      <c r="CS182" s="24">
        <v>4</v>
      </c>
      <c r="CT182" s="24">
        <v>1</v>
      </c>
      <c r="CU182" s="24">
        <v>2</v>
      </c>
      <c r="CV182" s="24">
        <v>4</v>
      </c>
      <c r="CW182" s="24">
        <v>1</v>
      </c>
      <c r="CX182" s="24">
        <v>3</v>
      </c>
      <c r="CY182" s="24">
        <v>4</v>
      </c>
      <c r="CZ182" s="24">
        <v>1</v>
      </c>
      <c r="DA182" s="24">
        <v>1</v>
      </c>
      <c r="DB182" s="24" t="s">
        <v>383</v>
      </c>
      <c r="DC182" s="24">
        <v>3</v>
      </c>
      <c r="DD182" s="24" t="s">
        <v>330</v>
      </c>
      <c r="DE182" s="24" t="s">
        <v>156</v>
      </c>
      <c r="DJ182" s="24" t="s">
        <v>159</v>
      </c>
      <c r="DK182" s="24" t="s">
        <v>137</v>
      </c>
    </row>
    <row r="183" spans="1:115" ht="22.5" customHeight="1" x14ac:dyDescent="0.2">
      <c r="A183" s="23">
        <v>46079.80017037037</v>
      </c>
      <c r="B183" s="24" t="s">
        <v>1581</v>
      </c>
      <c r="C183" s="24">
        <v>0</v>
      </c>
      <c r="D183" s="24" t="s">
        <v>1582</v>
      </c>
      <c r="E183" s="24" t="s">
        <v>1583</v>
      </c>
      <c r="F183" s="24" t="s">
        <v>128</v>
      </c>
      <c r="G183" s="24">
        <v>61</v>
      </c>
      <c r="H183" s="25" t="s">
        <v>1584</v>
      </c>
      <c r="I183" s="24" t="s">
        <v>275</v>
      </c>
      <c r="J183" s="24" t="s">
        <v>133</v>
      </c>
      <c r="K183" s="24" t="s">
        <v>345</v>
      </c>
      <c r="M183" s="24" t="s">
        <v>136</v>
      </c>
      <c r="N183" s="24" t="s">
        <v>240</v>
      </c>
      <c r="O183" s="24" t="s">
        <v>199</v>
      </c>
      <c r="P183" s="24" t="s">
        <v>156</v>
      </c>
      <c r="Q183" s="24" t="s">
        <v>215</v>
      </c>
      <c r="R183" s="24" t="s">
        <v>382</v>
      </c>
      <c r="S183" s="24" t="s">
        <v>544</v>
      </c>
      <c r="T183" s="24" t="s">
        <v>136</v>
      </c>
      <c r="U183" s="24" t="s">
        <v>241</v>
      </c>
      <c r="V183" s="24" t="s">
        <v>199</v>
      </c>
      <c r="AI183" s="24" t="s">
        <v>203</v>
      </c>
      <c r="AJ183" s="24" t="s">
        <v>156</v>
      </c>
      <c r="AK183" s="24" t="s">
        <v>136</v>
      </c>
      <c r="AL183" s="24" t="s">
        <v>136</v>
      </c>
      <c r="AM183" s="24" t="s">
        <v>136</v>
      </c>
      <c r="AN183" s="24" t="s">
        <v>156</v>
      </c>
      <c r="AO183" s="24" t="s">
        <v>136</v>
      </c>
      <c r="AP183" s="24" t="s">
        <v>136</v>
      </c>
      <c r="AQ183" s="24" t="s">
        <v>156</v>
      </c>
      <c r="CB183" s="24" t="s">
        <v>149</v>
      </c>
      <c r="CC183" s="24" t="s">
        <v>150</v>
      </c>
      <c r="CD183" s="24" t="s">
        <v>171</v>
      </c>
      <c r="CE183" s="24" t="s">
        <v>152</v>
      </c>
      <c r="CF183" s="24" t="s">
        <v>243</v>
      </c>
      <c r="CG183" s="24">
        <v>4</v>
      </c>
      <c r="CH183" s="24" t="s">
        <v>244</v>
      </c>
      <c r="CI183" s="24" t="s">
        <v>623</v>
      </c>
      <c r="CJ183" s="24" t="s">
        <v>136</v>
      </c>
      <c r="CK183" s="24" t="s">
        <v>207</v>
      </c>
      <c r="CL183" s="24">
        <v>2</v>
      </c>
      <c r="CM183" s="24">
        <v>2</v>
      </c>
      <c r="CN183" s="24">
        <v>3</v>
      </c>
      <c r="CO183" s="24">
        <v>4</v>
      </c>
      <c r="CP183" s="24">
        <v>3</v>
      </c>
      <c r="CQ183" s="24">
        <v>2</v>
      </c>
      <c r="CR183" s="24">
        <v>3</v>
      </c>
      <c r="CS183" s="24">
        <v>3</v>
      </c>
      <c r="CT183" s="24">
        <v>2</v>
      </c>
      <c r="CU183" s="24">
        <v>3</v>
      </c>
      <c r="CV183" s="24">
        <v>3</v>
      </c>
      <c r="CW183" s="24">
        <v>2</v>
      </c>
      <c r="CX183" s="24">
        <v>3</v>
      </c>
      <c r="CY183" s="24">
        <v>3</v>
      </c>
      <c r="CZ183" s="24">
        <v>2</v>
      </c>
      <c r="DA183" s="24">
        <v>2</v>
      </c>
      <c r="DB183" s="24" t="s">
        <v>310</v>
      </c>
      <c r="DC183" s="24">
        <v>3</v>
      </c>
      <c r="DD183" s="24" t="s">
        <v>261</v>
      </c>
      <c r="DE183" s="24" t="s">
        <v>156</v>
      </c>
      <c r="DJ183" s="24" t="s">
        <v>210</v>
      </c>
      <c r="DK183" s="24" t="s">
        <v>1585</v>
      </c>
    </row>
    <row r="184" spans="1:115" ht="22.5" customHeight="1" x14ac:dyDescent="0.2">
      <c r="A184" s="23">
        <v>46080.415182129625</v>
      </c>
      <c r="B184" s="24" t="s">
        <v>1586</v>
      </c>
      <c r="C184" s="24">
        <v>0</v>
      </c>
      <c r="D184" s="24" t="s">
        <v>1587</v>
      </c>
      <c r="E184" s="24" t="s">
        <v>1588</v>
      </c>
      <c r="F184" s="24" t="s">
        <v>163</v>
      </c>
      <c r="G184" s="24">
        <v>60</v>
      </c>
      <c r="H184" s="25" t="s">
        <v>1589</v>
      </c>
      <c r="I184" s="24" t="s">
        <v>194</v>
      </c>
      <c r="J184" s="24" t="s">
        <v>301</v>
      </c>
      <c r="K184" s="24" t="s">
        <v>345</v>
      </c>
      <c r="M184" s="24" t="s">
        <v>136</v>
      </c>
      <c r="N184" s="24" t="s">
        <v>240</v>
      </c>
      <c r="O184" s="24" t="s">
        <v>199</v>
      </c>
      <c r="P184" s="24" t="s">
        <v>136</v>
      </c>
      <c r="Q184" s="24" t="s">
        <v>254</v>
      </c>
      <c r="R184" s="24" t="s">
        <v>199</v>
      </c>
      <c r="S184" s="24" t="s">
        <v>266</v>
      </c>
      <c r="T184" s="24" t="s">
        <v>136</v>
      </c>
      <c r="U184" s="24" t="s">
        <v>202</v>
      </c>
      <c r="V184" s="24" t="s">
        <v>199</v>
      </c>
      <c r="AI184" s="24" t="s">
        <v>219</v>
      </c>
      <c r="AJ184" s="24" t="s">
        <v>136</v>
      </c>
      <c r="AK184" s="24" t="s">
        <v>156</v>
      </c>
      <c r="AL184" s="24" t="s">
        <v>136</v>
      </c>
      <c r="AM184" s="24" t="s">
        <v>156</v>
      </c>
      <c r="AN184" s="24" t="s">
        <v>136</v>
      </c>
      <c r="AO184" s="24" t="s">
        <v>136</v>
      </c>
      <c r="AP184" s="24" t="s">
        <v>136</v>
      </c>
      <c r="AQ184" s="24" t="s">
        <v>136</v>
      </c>
      <c r="BF184" s="24" t="s">
        <v>346</v>
      </c>
      <c r="BG184" s="24" t="s">
        <v>156</v>
      </c>
      <c r="BI184" s="24" t="s">
        <v>1590</v>
      </c>
      <c r="BJ184" s="24" t="s">
        <v>156</v>
      </c>
      <c r="BK184" s="24" t="s">
        <v>396</v>
      </c>
      <c r="BL184" s="24" t="s">
        <v>386</v>
      </c>
      <c r="BM184" s="24" t="s">
        <v>223</v>
      </c>
      <c r="BN184" s="24" t="s">
        <v>167</v>
      </c>
      <c r="BO184" s="24" t="s">
        <v>136</v>
      </c>
      <c r="BP184" s="24" t="s">
        <v>1591</v>
      </c>
      <c r="BR184" s="24" t="s">
        <v>168</v>
      </c>
      <c r="BS184" s="24" t="s">
        <v>518</v>
      </c>
      <c r="BT184" s="24" t="s">
        <v>340</v>
      </c>
      <c r="CB184" s="24" t="s">
        <v>149</v>
      </c>
      <c r="CC184" s="24" t="s">
        <v>150</v>
      </c>
      <c r="CD184" s="24" t="s">
        <v>229</v>
      </c>
      <c r="CE184" s="24" t="s">
        <v>152</v>
      </c>
      <c r="CF184" s="24" t="s">
        <v>153</v>
      </c>
      <c r="CG184" s="24">
        <v>4</v>
      </c>
      <c r="CH184" s="24" t="s">
        <v>154</v>
      </c>
      <c r="CI184" s="24" t="s">
        <v>259</v>
      </c>
      <c r="CJ184" s="24" t="s">
        <v>156</v>
      </c>
      <c r="CK184" s="24" t="s">
        <v>328</v>
      </c>
      <c r="CL184" s="24">
        <v>2</v>
      </c>
      <c r="CM184" s="24">
        <v>2</v>
      </c>
      <c r="CN184" s="24">
        <v>2</v>
      </c>
      <c r="CO184" s="24">
        <v>4</v>
      </c>
      <c r="CP184" s="24">
        <v>2</v>
      </c>
      <c r="CQ184" s="24">
        <v>1</v>
      </c>
      <c r="CR184" s="24">
        <v>3</v>
      </c>
      <c r="CS184" s="24">
        <v>3</v>
      </c>
      <c r="CT184" s="24">
        <v>2</v>
      </c>
      <c r="CU184" s="24">
        <v>3</v>
      </c>
      <c r="CV184" s="24">
        <v>3</v>
      </c>
      <c r="CW184" s="24">
        <v>2</v>
      </c>
      <c r="CX184" s="24">
        <v>3</v>
      </c>
      <c r="CY184" s="24">
        <v>3</v>
      </c>
      <c r="CZ184" s="24">
        <v>2</v>
      </c>
      <c r="DA184" s="24">
        <v>2</v>
      </c>
      <c r="DB184" s="24" t="s">
        <v>280</v>
      </c>
      <c r="DC184" s="24">
        <v>2</v>
      </c>
      <c r="DD184" s="24" t="s">
        <v>624</v>
      </c>
      <c r="DE184" s="24" t="s">
        <v>156</v>
      </c>
      <c r="DJ184" s="24" t="s">
        <v>210</v>
      </c>
      <c r="DK184" s="24" t="s">
        <v>1592</v>
      </c>
    </row>
    <row r="185" spans="1:115" ht="22.5" customHeight="1" x14ac:dyDescent="0.2">
      <c r="A185" s="23">
        <v>46080.54402350694</v>
      </c>
      <c r="B185" s="24" t="s">
        <v>1593</v>
      </c>
      <c r="C185" s="24">
        <v>0</v>
      </c>
      <c r="D185" s="24" t="s">
        <v>1594</v>
      </c>
      <c r="E185" s="24" t="s">
        <v>1595</v>
      </c>
      <c r="F185" s="24" t="s">
        <v>163</v>
      </c>
      <c r="G185" s="24">
        <v>61</v>
      </c>
      <c r="H185" s="25" t="s">
        <v>1596</v>
      </c>
      <c r="I185" s="24" t="s">
        <v>132</v>
      </c>
      <c r="J185" s="24" t="s">
        <v>133</v>
      </c>
      <c r="K185" s="24" t="s">
        <v>302</v>
      </c>
      <c r="M185" s="24" t="s">
        <v>136</v>
      </c>
      <c r="N185" s="24" t="s">
        <v>425</v>
      </c>
      <c r="O185" s="24" t="s">
        <v>355</v>
      </c>
      <c r="P185" s="24" t="s">
        <v>156</v>
      </c>
      <c r="Q185" s="24" t="s">
        <v>502</v>
      </c>
      <c r="R185" s="24" t="s">
        <v>270</v>
      </c>
      <c r="S185" s="24" t="s">
        <v>255</v>
      </c>
      <c r="T185" s="24" t="s">
        <v>136</v>
      </c>
      <c r="U185" s="24" t="s">
        <v>335</v>
      </c>
      <c r="V185" s="24" t="s">
        <v>486</v>
      </c>
      <c r="AI185" s="24" t="s">
        <v>304</v>
      </c>
      <c r="AJ185" s="24" t="s">
        <v>136</v>
      </c>
      <c r="AK185" s="24" t="s">
        <v>136</v>
      </c>
      <c r="AL185" s="24" t="s">
        <v>136</v>
      </c>
      <c r="AM185" s="24" t="s">
        <v>136</v>
      </c>
      <c r="AN185" s="24" t="s">
        <v>136</v>
      </c>
      <c r="AO185" s="24" t="s">
        <v>136</v>
      </c>
      <c r="AP185" s="24" t="s">
        <v>136</v>
      </c>
      <c r="AQ185" s="24" t="s">
        <v>136</v>
      </c>
      <c r="BU185" s="24" t="s">
        <v>167</v>
      </c>
      <c r="BV185" s="24" t="s">
        <v>136</v>
      </c>
      <c r="BW185" s="24" t="s">
        <v>1597</v>
      </c>
      <c r="BX185" s="24" t="s">
        <v>137</v>
      </c>
      <c r="BY185" s="24" t="s">
        <v>420</v>
      </c>
      <c r="BZ185" s="24" t="s">
        <v>427</v>
      </c>
      <c r="CA185" s="24" t="s">
        <v>428</v>
      </c>
      <c r="CB185" s="24" t="s">
        <v>149</v>
      </c>
      <c r="CC185" s="24" t="s">
        <v>242</v>
      </c>
      <c r="CD185" s="24" t="s">
        <v>171</v>
      </c>
      <c r="CE185" s="24" t="s">
        <v>152</v>
      </c>
      <c r="CF185" s="24" t="s">
        <v>153</v>
      </c>
      <c r="CG185" s="24">
        <v>4</v>
      </c>
      <c r="CH185" s="24" t="s">
        <v>244</v>
      </c>
      <c r="CI185" s="24" t="s">
        <v>398</v>
      </c>
      <c r="CJ185" s="24" t="s">
        <v>136</v>
      </c>
      <c r="CK185" s="24" t="s">
        <v>246</v>
      </c>
      <c r="CL185" s="24">
        <v>4</v>
      </c>
      <c r="CM185" s="24">
        <v>4</v>
      </c>
      <c r="CN185" s="24">
        <v>4</v>
      </c>
      <c r="CO185" s="24">
        <v>4</v>
      </c>
      <c r="CP185" s="24">
        <v>5</v>
      </c>
      <c r="CQ185" s="24">
        <v>4</v>
      </c>
      <c r="CR185" s="24">
        <v>4</v>
      </c>
      <c r="CS185" s="24">
        <v>4</v>
      </c>
      <c r="CT185" s="24">
        <v>4</v>
      </c>
      <c r="CU185" s="24">
        <v>4</v>
      </c>
      <c r="CV185" s="24">
        <v>4</v>
      </c>
      <c r="CW185" s="24">
        <v>4</v>
      </c>
      <c r="CX185" s="24">
        <v>4</v>
      </c>
      <c r="CY185" s="24">
        <v>4</v>
      </c>
      <c r="CZ185" s="24">
        <v>4</v>
      </c>
      <c r="DA185" s="24">
        <v>3</v>
      </c>
      <c r="DB185" s="24" t="s">
        <v>413</v>
      </c>
      <c r="DC185" s="24">
        <v>4</v>
      </c>
      <c r="DD185" s="24" t="s">
        <v>624</v>
      </c>
      <c r="DE185" s="24" t="s">
        <v>136</v>
      </c>
      <c r="DF185" s="24">
        <v>4</v>
      </c>
      <c r="DG185" s="24">
        <v>4</v>
      </c>
      <c r="DH185" s="24">
        <v>4</v>
      </c>
      <c r="DI185" s="24" t="s">
        <v>158</v>
      </c>
      <c r="DJ185" s="24" t="s">
        <v>435</v>
      </c>
      <c r="DK185" s="24" t="s">
        <v>137</v>
      </c>
    </row>
    <row r="186" spans="1:115" ht="22.5" customHeight="1" x14ac:dyDescent="0.2">
      <c r="A186" s="23">
        <v>46082.06991622685</v>
      </c>
      <c r="B186" s="24" t="s">
        <v>1598</v>
      </c>
      <c r="C186" s="24">
        <v>0</v>
      </c>
      <c r="D186" s="24" t="s">
        <v>1599</v>
      </c>
      <c r="E186" s="24" t="s">
        <v>1600</v>
      </c>
      <c r="F186" s="24" t="s">
        <v>128</v>
      </c>
      <c r="G186" s="24">
        <v>62</v>
      </c>
      <c r="H186" s="25" t="s">
        <v>1601</v>
      </c>
      <c r="I186" s="24" t="s">
        <v>132</v>
      </c>
      <c r="J186" s="24" t="s">
        <v>133</v>
      </c>
      <c r="K186" s="24" t="s">
        <v>135</v>
      </c>
      <c r="M186" s="24" t="s">
        <v>156</v>
      </c>
      <c r="N186" s="24" t="s">
        <v>215</v>
      </c>
      <c r="O186" s="24" t="s">
        <v>355</v>
      </c>
      <c r="P186" s="24" t="s">
        <v>156</v>
      </c>
      <c r="Q186" s="24" t="s">
        <v>215</v>
      </c>
      <c r="R186" s="24" t="s">
        <v>217</v>
      </c>
      <c r="S186" s="24" t="s">
        <v>277</v>
      </c>
      <c r="T186" s="24" t="s">
        <v>136</v>
      </c>
      <c r="U186" s="24" t="s">
        <v>241</v>
      </c>
      <c r="V186" s="24" t="s">
        <v>199</v>
      </c>
      <c r="AI186" s="24" t="s">
        <v>219</v>
      </c>
      <c r="AJ186" s="24" t="s">
        <v>156</v>
      </c>
      <c r="AK186" s="24" t="s">
        <v>156</v>
      </c>
      <c r="AL186" s="24" t="s">
        <v>136</v>
      </c>
      <c r="AM186" s="24" t="s">
        <v>156</v>
      </c>
      <c r="AN186" s="24" t="s">
        <v>156</v>
      </c>
      <c r="AO186" s="24" t="s">
        <v>156</v>
      </c>
      <c r="AP186" s="24" t="s">
        <v>136</v>
      </c>
      <c r="AQ186" s="24" t="s">
        <v>136</v>
      </c>
      <c r="BF186" s="24" t="s">
        <v>167</v>
      </c>
      <c r="BG186" s="24" t="s">
        <v>156</v>
      </c>
      <c r="BH186" s="24" t="s">
        <v>137</v>
      </c>
      <c r="BI186" s="24" t="s">
        <v>1602</v>
      </c>
      <c r="BJ186" s="24" t="s">
        <v>156</v>
      </c>
      <c r="BK186" s="24" t="s">
        <v>221</v>
      </c>
      <c r="BL186" s="24" t="s">
        <v>509</v>
      </c>
      <c r="BM186" s="24" t="s">
        <v>967</v>
      </c>
      <c r="BN186" s="24" t="s">
        <v>167</v>
      </c>
      <c r="BO186" s="24" t="s">
        <v>156</v>
      </c>
      <c r="BP186" s="24" t="s">
        <v>137</v>
      </c>
      <c r="BQ186" s="24" t="s">
        <v>1603</v>
      </c>
      <c r="BR186" s="24" t="s">
        <v>168</v>
      </c>
      <c r="BS186" s="24" t="s">
        <v>518</v>
      </c>
      <c r="BT186" s="24" t="s">
        <v>170</v>
      </c>
      <c r="CB186" s="24" t="s">
        <v>267</v>
      </c>
      <c r="CC186" s="24" t="s">
        <v>150</v>
      </c>
      <c r="CD186" s="24" t="s">
        <v>171</v>
      </c>
      <c r="CE186" s="24" t="s">
        <v>152</v>
      </c>
      <c r="CF186" s="24" t="s">
        <v>153</v>
      </c>
      <c r="CG186" s="24">
        <v>4</v>
      </c>
      <c r="CH186" s="24" t="s">
        <v>286</v>
      </c>
      <c r="CI186" s="24" t="s">
        <v>259</v>
      </c>
      <c r="CJ186" s="24" t="s">
        <v>136</v>
      </c>
      <c r="CK186" s="24" t="s">
        <v>430</v>
      </c>
      <c r="CL186" s="24">
        <v>4</v>
      </c>
      <c r="CM186" s="24">
        <v>4</v>
      </c>
      <c r="CN186" s="24">
        <v>4</v>
      </c>
      <c r="CO186" s="24">
        <v>4</v>
      </c>
      <c r="CP186" s="24">
        <v>4</v>
      </c>
      <c r="CQ186" s="24">
        <v>3</v>
      </c>
      <c r="CR186" s="24">
        <v>3</v>
      </c>
      <c r="CS186" s="24">
        <v>3</v>
      </c>
      <c r="CT186" s="24">
        <v>3</v>
      </c>
      <c r="CU186" s="24">
        <v>4</v>
      </c>
      <c r="CV186" s="24">
        <v>3</v>
      </c>
      <c r="CW186" s="24">
        <v>4</v>
      </c>
      <c r="CX186" s="24">
        <v>3</v>
      </c>
      <c r="CY186" s="24">
        <v>4</v>
      </c>
      <c r="CZ186" s="24">
        <v>4</v>
      </c>
      <c r="DA186" s="24">
        <v>4</v>
      </c>
      <c r="DB186" s="24" t="s">
        <v>295</v>
      </c>
      <c r="DC186" s="24">
        <v>3</v>
      </c>
      <c r="DD186" s="24" t="s">
        <v>574</v>
      </c>
      <c r="DE186" s="24" t="s">
        <v>156</v>
      </c>
      <c r="DJ186" s="24" t="s">
        <v>159</v>
      </c>
      <c r="DK186" s="24" t="s">
        <v>137</v>
      </c>
    </row>
    <row r="187" spans="1:115" ht="22.5" customHeight="1" x14ac:dyDescent="0.2">
      <c r="A187" s="23">
        <v>46083.406946377319</v>
      </c>
      <c r="B187" s="24" t="s">
        <v>1604</v>
      </c>
      <c r="C187" s="24">
        <v>0</v>
      </c>
      <c r="D187" s="24" t="s">
        <v>1605</v>
      </c>
      <c r="E187" s="24" t="s">
        <v>1606</v>
      </c>
      <c r="F187" s="24" t="s">
        <v>128</v>
      </c>
      <c r="G187" s="24">
        <v>61</v>
      </c>
      <c r="H187" s="25" t="s">
        <v>1607</v>
      </c>
      <c r="I187" s="24" t="s">
        <v>194</v>
      </c>
      <c r="J187" s="24" t="s">
        <v>133</v>
      </c>
      <c r="K187" s="24" t="s">
        <v>302</v>
      </c>
      <c r="M187" s="24" t="s">
        <v>156</v>
      </c>
      <c r="N187" s="24" t="s">
        <v>215</v>
      </c>
      <c r="O187" s="24" t="s">
        <v>355</v>
      </c>
      <c r="P187" s="24" t="s">
        <v>136</v>
      </c>
      <c r="Q187" s="24" t="s">
        <v>502</v>
      </c>
      <c r="R187" s="24" t="s">
        <v>199</v>
      </c>
      <c r="S187" s="24" t="s">
        <v>266</v>
      </c>
      <c r="T187" s="24" t="s">
        <v>136</v>
      </c>
      <c r="U187" s="24" t="s">
        <v>693</v>
      </c>
      <c r="V187" s="24" t="s">
        <v>199</v>
      </c>
      <c r="AI187" s="24" t="s">
        <v>304</v>
      </c>
      <c r="AJ187" s="24" t="s">
        <v>136</v>
      </c>
      <c r="AK187" s="24" t="s">
        <v>136</v>
      </c>
      <c r="AL187" s="24" t="s">
        <v>136</v>
      </c>
      <c r="AM187" s="24" t="s">
        <v>156</v>
      </c>
      <c r="AN187" s="24" t="s">
        <v>136</v>
      </c>
      <c r="AO187" s="24" t="s">
        <v>136</v>
      </c>
      <c r="AP187" s="24" t="s">
        <v>136</v>
      </c>
      <c r="AQ187" s="24" t="s">
        <v>136</v>
      </c>
      <c r="BU187" s="24" t="s">
        <v>305</v>
      </c>
      <c r="BV187" s="24" t="s">
        <v>136</v>
      </c>
      <c r="BW187" s="24" t="s">
        <v>1608</v>
      </c>
      <c r="BY187" s="24" t="s">
        <v>376</v>
      </c>
      <c r="BZ187" s="24" t="s">
        <v>307</v>
      </c>
      <c r="CA187" s="24" t="s">
        <v>308</v>
      </c>
      <c r="CB187" s="24" t="s">
        <v>149</v>
      </c>
      <c r="CC187" s="24" t="s">
        <v>150</v>
      </c>
      <c r="CD187" s="24" t="s">
        <v>229</v>
      </c>
      <c r="CE187" s="24" t="s">
        <v>204</v>
      </c>
      <c r="CF187" s="24" t="s">
        <v>153</v>
      </c>
      <c r="CG187" s="24">
        <v>4</v>
      </c>
      <c r="CH187" s="24" t="s">
        <v>154</v>
      </c>
      <c r="CI187" s="24" t="s">
        <v>259</v>
      </c>
      <c r="CJ187" s="24" t="s">
        <v>136</v>
      </c>
      <c r="CK187" s="24" t="s">
        <v>246</v>
      </c>
      <c r="CL187" s="24">
        <v>2</v>
      </c>
      <c r="CM187" s="24">
        <v>2</v>
      </c>
      <c r="CN187" s="24">
        <v>3</v>
      </c>
      <c r="CO187" s="24">
        <v>4</v>
      </c>
      <c r="CP187" s="24">
        <v>3</v>
      </c>
      <c r="CQ187" s="24">
        <v>2</v>
      </c>
      <c r="CR187" s="24">
        <v>2</v>
      </c>
      <c r="CS187" s="24">
        <v>3</v>
      </c>
      <c r="CT187" s="24">
        <v>4</v>
      </c>
      <c r="CU187" s="24">
        <v>4</v>
      </c>
      <c r="CV187" s="24">
        <v>4</v>
      </c>
      <c r="CW187" s="24">
        <v>3</v>
      </c>
      <c r="CX187" s="24">
        <v>3</v>
      </c>
      <c r="CY187" s="24">
        <v>4</v>
      </c>
      <c r="CZ187" s="24">
        <v>2</v>
      </c>
      <c r="DA187" s="24">
        <v>2</v>
      </c>
      <c r="DB187" s="24" t="s">
        <v>247</v>
      </c>
      <c r="DC187" s="24">
        <v>3</v>
      </c>
      <c r="DD187" s="24" t="s">
        <v>311</v>
      </c>
      <c r="DE187" s="24" t="s">
        <v>136</v>
      </c>
      <c r="DF187" s="24">
        <v>4</v>
      </c>
      <c r="DG187" s="24">
        <v>4</v>
      </c>
      <c r="DH187" s="24">
        <v>4</v>
      </c>
      <c r="DI187" s="24" t="s">
        <v>1609</v>
      </c>
      <c r="DJ187" s="24" t="s">
        <v>210</v>
      </c>
      <c r="DK187" s="24" t="s">
        <v>1610</v>
      </c>
    </row>
    <row r="188" spans="1:115" ht="22.5" customHeight="1" x14ac:dyDescent="0.2">
      <c r="A188" s="23">
        <v>46090.900573298612</v>
      </c>
      <c r="B188" s="24" t="s">
        <v>1611</v>
      </c>
      <c r="C188" s="24">
        <v>0</v>
      </c>
      <c r="D188" s="24" t="s">
        <v>1612</v>
      </c>
      <c r="E188" s="24" t="s">
        <v>1613</v>
      </c>
      <c r="F188" s="24" t="s">
        <v>128</v>
      </c>
      <c r="G188" s="24">
        <v>62</v>
      </c>
      <c r="H188" s="25" t="s">
        <v>1614</v>
      </c>
      <c r="I188" s="24" t="s">
        <v>132</v>
      </c>
      <c r="J188" s="24" t="s">
        <v>133</v>
      </c>
      <c r="K188" s="24" t="s">
        <v>135</v>
      </c>
      <c r="M188" s="24" t="s">
        <v>136</v>
      </c>
      <c r="N188" s="24" t="s">
        <v>240</v>
      </c>
      <c r="O188" s="24" t="s">
        <v>199</v>
      </c>
      <c r="P188" s="24" t="s">
        <v>136</v>
      </c>
      <c r="Q188" s="24" t="s">
        <v>502</v>
      </c>
      <c r="R188" s="24" t="s">
        <v>199</v>
      </c>
      <c r="S188" s="24" t="s">
        <v>266</v>
      </c>
      <c r="T188" s="24" t="s">
        <v>136</v>
      </c>
      <c r="U188" s="24" t="s">
        <v>202</v>
      </c>
      <c r="V188" s="24" t="s">
        <v>199</v>
      </c>
      <c r="AI188" s="24" t="s">
        <v>203</v>
      </c>
      <c r="AJ188" s="24" t="s">
        <v>136</v>
      </c>
      <c r="AK188" s="24" t="s">
        <v>136</v>
      </c>
      <c r="AL188" s="24" t="s">
        <v>136</v>
      </c>
      <c r="AM188" s="24" t="s">
        <v>156</v>
      </c>
      <c r="AN188" s="24" t="s">
        <v>156</v>
      </c>
      <c r="AO188" s="24" t="s">
        <v>136</v>
      </c>
      <c r="AP188" s="24" t="s">
        <v>156</v>
      </c>
      <c r="AQ188" s="24" t="s">
        <v>136</v>
      </c>
      <c r="CB188" s="24" t="s">
        <v>267</v>
      </c>
      <c r="CC188" s="24" t="s">
        <v>150</v>
      </c>
      <c r="CD188" s="24" t="s">
        <v>151</v>
      </c>
      <c r="CE188" s="24" t="s">
        <v>204</v>
      </c>
      <c r="CF188" s="24" t="s">
        <v>243</v>
      </c>
      <c r="CG188" s="24">
        <v>4</v>
      </c>
      <c r="CH188" s="24" t="s">
        <v>154</v>
      </c>
      <c r="CI188" s="24" t="s">
        <v>324</v>
      </c>
      <c r="CJ188" s="24" t="s">
        <v>136</v>
      </c>
      <c r="CK188" s="24" t="s">
        <v>512</v>
      </c>
      <c r="CL188" s="24">
        <v>4</v>
      </c>
      <c r="CM188" s="24">
        <v>4</v>
      </c>
      <c r="CN188" s="24">
        <v>4</v>
      </c>
      <c r="CO188" s="24">
        <v>4</v>
      </c>
      <c r="CP188" s="24">
        <v>5</v>
      </c>
      <c r="CQ188" s="24">
        <v>4</v>
      </c>
      <c r="CR188" s="24">
        <v>4</v>
      </c>
      <c r="CS188" s="24">
        <v>4</v>
      </c>
      <c r="CT188" s="24">
        <v>4</v>
      </c>
      <c r="CU188" s="24">
        <v>4</v>
      </c>
      <c r="CV188" s="24">
        <v>4</v>
      </c>
      <c r="CW188" s="24">
        <v>4</v>
      </c>
      <c r="CX188" s="24">
        <v>4</v>
      </c>
      <c r="CY188" s="24">
        <v>4</v>
      </c>
      <c r="CZ188" s="24">
        <v>4</v>
      </c>
      <c r="DA188" s="24">
        <v>4</v>
      </c>
      <c r="DB188" s="24" t="s">
        <v>1615</v>
      </c>
      <c r="DC188" s="24">
        <v>4</v>
      </c>
      <c r="DD188" s="24" t="s">
        <v>440</v>
      </c>
      <c r="DE188" s="24" t="s">
        <v>156</v>
      </c>
      <c r="DJ188" s="24" t="s">
        <v>210</v>
      </c>
      <c r="DK188" s="24" t="s">
        <v>1616</v>
      </c>
    </row>
    <row r="189" spans="1:115" ht="22.5" customHeight="1" x14ac:dyDescent="0.2">
      <c r="A189" s="23">
        <v>46102.009158043977</v>
      </c>
      <c r="B189" s="24" t="s">
        <v>1617</v>
      </c>
      <c r="C189" s="24">
        <v>0</v>
      </c>
      <c r="D189" s="24" t="s">
        <v>1618</v>
      </c>
      <c r="E189" s="24" t="s">
        <v>1619</v>
      </c>
      <c r="F189" s="24" t="s">
        <v>128</v>
      </c>
      <c r="G189" s="24">
        <v>62</v>
      </c>
      <c r="H189" s="25" t="s">
        <v>1620</v>
      </c>
      <c r="I189" s="24" t="s">
        <v>132</v>
      </c>
      <c r="J189" s="24" t="s">
        <v>133</v>
      </c>
      <c r="K189" s="24" t="s">
        <v>269</v>
      </c>
      <c r="M189" s="24" t="s">
        <v>136</v>
      </c>
      <c r="N189" s="24" t="s">
        <v>425</v>
      </c>
      <c r="O189" s="24" t="s">
        <v>199</v>
      </c>
      <c r="P189" s="24" t="s">
        <v>136</v>
      </c>
      <c r="Q189" s="24" t="s">
        <v>502</v>
      </c>
      <c r="R189" s="24" t="s">
        <v>199</v>
      </c>
      <c r="S189" s="24" t="s">
        <v>266</v>
      </c>
      <c r="T189" s="24" t="s">
        <v>136</v>
      </c>
      <c r="U189" s="24" t="s">
        <v>202</v>
      </c>
      <c r="V189" s="24" t="s">
        <v>199</v>
      </c>
      <c r="AI189" s="24" t="s">
        <v>144</v>
      </c>
      <c r="AJ189" s="24" t="s">
        <v>136</v>
      </c>
      <c r="AK189" s="24" t="s">
        <v>136</v>
      </c>
      <c r="AL189" s="24" t="s">
        <v>156</v>
      </c>
      <c r="AM189" s="24" t="s">
        <v>136</v>
      </c>
      <c r="AN189" s="24" t="s">
        <v>156</v>
      </c>
      <c r="AO189" s="24" t="s">
        <v>136</v>
      </c>
      <c r="AP189" s="24" t="s">
        <v>136</v>
      </c>
      <c r="AQ189" s="24" t="s">
        <v>136</v>
      </c>
      <c r="BN189" s="24" t="s">
        <v>167</v>
      </c>
      <c r="BO189" s="24" t="s">
        <v>136</v>
      </c>
      <c r="BR189" s="24" t="s">
        <v>146</v>
      </c>
      <c r="BS189" s="24" t="s">
        <v>169</v>
      </c>
      <c r="BT189" s="24" t="s">
        <v>227</v>
      </c>
      <c r="CB189" s="24" t="s">
        <v>267</v>
      </c>
      <c r="CC189" s="24" t="s">
        <v>150</v>
      </c>
      <c r="CD189" s="24" t="s">
        <v>229</v>
      </c>
      <c r="CE189" s="24" t="s">
        <v>152</v>
      </c>
      <c r="CF189" s="24" t="s">
        <v>153</v>
      </c>
      <c r="CG189" s="24">
        <v>4</v>
      </c>
      <c r="CH189" s="24" t="s">
        <v>286</v>
      </c>
      <c r="CI189" s="24" t="s">
        <v>278</v>
      </c>
      <c r="CJ189" s="24" t="s">
        <v>136</v>
      </c>
      <c r="CK189" s="24" t="s">
        <v>438</v>
      </c>
      <c r="CL189" s="24">
        <v>2</v>
      </c>
      <c r="CM189" s="24">
        <v>2</v>
      </c>
      <c r="CN189" s="24">
        <v>2</v>
      </c>
      <c r="CO189" s="24">
        <v>3</v>
      </c>
      <c r="CQ189" s="24">
        <v>2</v>
      </c>
      <c r="CR189" s="24">
        <v>2</v>
      </c>
      <c r="CS189" s="24">
        <v>3</v>
      </c>
      <c r="CT189" s="24">
        <v>3</v>
      </c>
      <c r="CU189" s="24">
        <v>3</v>
      </c>
      <c r="CV189" s="24">
        <v>3</v>
      </c>
      <c r="CW189" s="24">
        <v>2</v>
      </c>
      <c r="CX189" s="24">
        <v>2</v>
      </c>
      <c r="CY189" s="24">
        <v>3</v>
      </c>
      <c r="CZ189" s="24">
        <v>2</v>
      </c>
      <c r="DA189" s="24">
        <v>2</v>
      </c>
      <c r="DB189" s="24" t="s">
        <v>342</v>
      </c>
      <c r="DC189" s="24">
        <v>2</v>
      </c>
      <c r="DD189" s="24" t="s">
        <v>209</v>
      </c>
      <c r="DE189" s="24" t="s">
        <v>136</v>
      </c>
      <c r="DF189" s="24">
        <v>3</v>
      </c>
      <c r="DG189" s="24">
        <v>3</v>
      </c>
      <c r="DH189" s="24">
        <v>3</v>
      </c>
      <c r="DI189" s="24" t="s">
        <v>158</v>
      </c>
      <c r="DJ189" s="24" t="s">
        <v>159</v>
      </c>
      <c r="DK189" s="24" t="s">
        <v>137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64"/>
  <sheetViews>
    <sheetView workbookViewId="0"/>
  </sheetViews>
  <sheetFormatPr defaultColWidth="12.5703125" defaultRowHeight="15.75" customHeight="1" x14ac:dyDescent="0.2"/>
  <cols>
    <col min="9" max="9" width="73.42578125" customWidth="1"/>
  </cols>
  <sheetData>
    <row r="1" spans="1:9" x14ac:dyDescent="0.2">
      <c r="A1" s="1" t="s">
        <v>0</v>
      </c>
      <c r="B1" s="1" t="s">
        <v>1</v>
      </c>
      <c r="C1" s="1" t="s">
        <v>2</v>
      </c>
      <c r="D1" s="1" t="s">
        <v>3</v>
      </c>
      <c r="E1" s="1" t="s">
        <v>4</v>
      </c>
      <c r="F1" s="2" t="s">
        <v>5</v>
      </c>
    </row>
    <row r="2" spans="1:9" x14ac:dyDescent="0.2">
      <c r="A2" s="3">
        <v>1</v>
      </c>
      <c r="B2" s="3">
        <v>3</v>
      </c>
      <c r="C2" s="3">
        <v>3</v>
      </c>
      <c r="D2" s="3">
        <v>3</v>
      </c>
      <c r="E2" s="3">
        <v>3</v>
      </c>
      <c r="F2" s="4">
        <f t="shared" ref="F2:F51" si="0">SUM(B2:E2)</f>
        <v>12</v>
      </c>
      <c r="H2" s="5" t="s">
        <v>1</v>
      </c>
      <c r="I2" s="5" t="s">
        <v>10</v>
      </c>
    </row>
    <row r="3" spans="1:9" x14ac:dyDescent="0.2">
      <c r="A3" s="3">
        <v>2</v>
      </c>
      <c r="B3" s="3">
        <v>4</v>
      </c>
      <c r="C3" s="3">
        <v>4</v>
      </c>
      <c r="D3" s="3">
        <v>4</v>
      </c>
      <c r="E3" s="3">
        <v>4</v>
      </c>
      <c r="F3" s="4">
        <f t="shared" si="0"/>
        <v>16</v>
      </c>
      <c r="H3" s="5" t="s">
        <v>2</v>
      </c>
      <c r="I3" s="5" t="s">
        <v>12</v>
      </c>
    </row>
    <row r="4" spans="1:9" x14ac:dyDescent="0.2">
      <c r="A4" s="3">
        <v>3</v>
      </c>
      <c r="B4" s="3">
        <v>4</v>
      </c>
      <c r="C4" s="3">
        <v>3</v>
      </c>
      <c r="D4" s="3">
        <v>4</v>
      </c>
      <c r="E4" s="3">
        <v>3</v>
      </c>
      <c r="F4" s="4">
        <f t="shared" si="0"/>
        <v>14</v>
      </c>
      <c r="H4" s="5" t="s">
        <v>3</v>
      </c>
      <c r="I4" s="5" t="s">
        <v>15</v>
      </c>
    </row>
    <row r="5" spans="1:9" x14ac:dyDescent="0.2">
      <c r="A5" s="3">
        <v>4</v>
      </c>
      <c r="B5" s="3">
        <v>4</v>
      </c>
      <c r="C5" s="3">
        <v>4</v>
      </c>
      <c r="D5" s="3">
        <v>4</v>
      </c>
      <c r="E5" s="3">
        <v>4</v>
      </c>
      <c r="F5" s="4">
        <f t="shared" si="0"/>
        <v>16</v>
      </c>
      <c r="H5" s="5" t="s">
        <v>4</v>
      </c>
      <c r="I5" s="5" t="s">
        <v>22</v>
      </c>
    </row>
    <row r="6" spans="1:9" x14ac:dyDescent="0.2">
      <c r="A6" s="3">
        <v>5</v>
      </c>
      <c r="B6" s="3">
        <v>4</v>
      </c>
      <c r="C6" s="3">
        <v>3</v>
      </c>
      <c r="D6" s="3">
        <v>4</v>
      </c>
      <c r="E6" s="3">
        <v>4</v>
      </c>
      <c r="F6" s="4">
        <f t="shared" si="0"/>
        <v>15</v>
      </c>
    </row>
    <row r="7" spans="1:9" x14ac:dyDescent="0.2">
      <c r="A7" s="3">
        <v>6</v>
      </c>
      <c r="B7" s="3">
        <v>2</v>
      </c>
      <c r="C7" s="3">
        <v>2</v>
      </c>
      <c r="D7" s="3">
        <v>3</v>
      </c>
      <c r="E7" s="3">
        <v>3</v>
      </c>
      <c r="F7" s="4">
        <f t="shared" si="0"/>
        <v>10</v>
      </c>
    </row>
    <row r="8" spans="1:9" x14ac:dyDescent="0.2">
      <c r="A8" s="3">
        <v>7</v>
      </c>
      <c r="B8" s="3">
        <v>4</v>
      </c>
      <c r="C8" s="3">
        <v>4</v>
      </c>
      <c r="D8" s="3">
        <v>4</v>
      </c>
      <c r="E8" s="3">
        <v>4</v>
      </c>
      <c r="F8" s="4">
        <f t="shared" si="0"/>
        <v>16</v>
      </c>
    </row>
    <row r="9" spans="1:9" x14ac:dyDescent="0.2">
      <c r="A9" s="3">
        <v>8</v>
      </c>
      <c r="B9" s="3">
        <v>4</v>
      </c>
      <c r="C9" s="3">
        <v>3</v>
      </c>
      <c r="D9" s="3">
        <v>4</v>
      </c>
      <c r="E9" s="3">
        <v>3</v>
      </c>
      <c r="F9" s="4">
        <f t="shared" si="0"/>
        <v>14</v>
      </c>
    </row>
    <row r="10" spans="1:9" x14ac:dyDescent="0.2">
      <c r="A10" s="3">
        <v>9</v>
      </c>
      <c r="B10" s="3">
        <v>2</v>
      </c>
      <c r="C10" s="3">
        <v>3</v>
      </c>
      <c r="D10" s="3">
        <v>3</v>
      </c>
      <c r="E10" s="3">
        <v>3</v>
      </c>
      <c r="F10" s="4">
        <f t="shared" si="0"/>
        <v>11</v>
      </c>
    </row>
    <row r="11" spans="1:9" x14ac:dyDescent="0.2">
      <c r="A11" s="3">
        <v>10</v>
      </c>
      <c r="B11" s="3">
        <v>4</v>
      </c>
      <c r="C11" s="3">
        <v>4</v>
      </c>
      <c r="D11" s="3">
        <v>4</v>
      </c>
      <c r="E11" s="3">
        <v>4</v>
      </c>
      <c r="F11" s="4">
        <f t="shared" si="0"/>
        <v>16</v>
      </c>
    </row>
    <row r="12" spans="1:9" x14ac:dyDescent="0.2">
      <c r="A12" s="3">
        <v>11</v>
      </c>
      <c r="B12" s="3">
        <v>3</v>
      </c>
      <c r="C12" s="3">
        <v>3</v>
      </c>
      <c r="D12" s="3">
        <v>3</v>
      </c>
      <c r="E12" s="3">
        <v>3</v>
      </c>
      <c r="F12" s="4">
        <f t="shared" si="0"/>
        <v>12</v>
      </c>
    </row>
    <row r="13" spans="1:9" x14ac:dyDescent="0.2">
      <c r="A13" s="3">
        <v>12</v>
      </c>
      <c r="B13" s="3">
        <v>3</v>
      </c>
      <c r="C13" s="3">
        <v>3</v>
      </c>
      <c r="D13" s="3">
        <v>3</v>
      </c>
      <c r="E13" s="3">
        <v>3</v>
      </c>
      <c r="F13" s="4">
        <f t="shared" si="0"/>
        <v>12</v>
      </c>
    </row>
    <row r="14" spans="1:9" x14ac:dyDescent="0.2">
      <c r="A14" s="3">
        <v>13</v>
      </c>
      <c r="B14" s="3">
        <v>3</v>
      </c>
      <c r="C14" s="3">
        <v>3</v>
      </c>
      <c r="D14" s="3">
        <v>4</v>
      </c>
      <c r="E14" s="3">
        <v>4</v>
      </c>
      <c r="F14" s="4">
        <f t="shared" si="0"/>
        <v>14</v>
      </c>
    </row>
    <row r="15" spans="1:9" x14ac:dyDescent="0.2">
      <c r="A15" s="3">
        <v>14</v>
      </c>
      <c r="B15" s="3">
        <v>3</v>
      </c>
      <c r="C15" s="3">
        <v>3</v>
      </c>
      <c r="D15" s="3">
        <v>4</v>
      </c>
      <c r="E15" s="3">
        <v>3</v>
      </c>
      <c r="F15" s="4">
        <f t="shared" si="0"/>
        <v>13</v>
      </c>
    </row>
    <row r="16" spans="1:9" x14ac:dyDescent="0.2">
      <c r="A16" s="3">
        <v>15</v>
      </c>
      <c r="B16" s="3">
        <v>2</v>
      </c>
      <c r="C16" s="3">
        <v>2</v>
      </c>
      <c r="D16" s="3">
        <v>2</v>
      </c>
      <c r="E16" s="3">
        <v>2</v>
      </c>
      <c r="F16" s="4">
        <f t="shared" si="0"/>
        <v>8</v>
      </c>
    </row>
    <row r="17" spans="1:6" x14ac:dyDescent="0.2">
      <c r="A17" s="3">
        <v>16</v>
      </c>
      <c r="B17" s="3">
        <v>4</v>
      </c>
      <c r="C17" s="3">
        <v>4</v>
      </c>
      <c r="D17" s="3">
        <v>4</v>
      </c>
      <c r="E17" s="3">
        <v>4</v>
      </c>
      <c r="F17" s="4">
        <f t="shared" si="0"/>
        <v>16</v>
      </c>
    </row>
    <row r="18" spans="1:6" x14ac:dyDescent="0.2">
      <c r="A18" s="3">
        <v>17</v>
      </c>
      <c r="B18" s="3">
        <v>3</v>
      </c>
      <c r="C18" s="3">
        <v>4</v>
      </c>
      <c r="D18" s="3">
        <v>3</v>
      </c>
      <c r="E18" s="3">
        <v>3</v>
      </c>
      <c r="F18" s="4">
        <f t="shared" si="0"/>
        <v>13</v>
      </c>
    </row>
    <row r="19" spans="1:6" x14ac:dyDescent="0.2">
      <c r="A19" s="3">
        <v>18</v>
      </c>
      <c r="B19" s="3">
        <v>2</v>
      </c>
      <c r="C19" s="3">
        <v>2</v>
      </c>
      <c r="D19" s="3">
        <v>2</v>
      </c>
      <c r="E19" s="3">
        <v>2</v>
      </c>
      <c r="F19" s="4">
        <f t="shared" si="0"/>
        <v>8</v>
      </c>
    </row>
    <row r="20" spans="1:6" x14ac:dyDescent="0.2">
      <c r="A20" s="3">
        <v>19</v>
      </c>
      <c r="B20" s="3">
        <v>3</v>
      </c>
      <c r="C20" s="3">
        <v>3</v>
      </c>
      <c r="D20" s="3">
        <v>3</v>
      </c>
      <c r="E20" s="3">
        <v>3</v>
      </c>
      <c r="F20" s="4">
        <f t="shared" si="0"/>
        <v>12</v>
      </c>
    </row>
    <row r="21" spans="1:6" x14ac:dyDescent="0.2">
      <c r="A21" s="3">
        <v>20</v>
      </c>
      <c r="B21" s="3">
        <v>2</v>
      </c>
      <c r="C21" s="3">
        <v>2</v>
      </c>
      <c r="D21" s="3">
        <v>3</v>
      </c>
      <c r="E21" s="3">
        <v>2</v>
      </c>
      <c r="F21" s="4">
        <f t="shared" si="0"/>
        <v>9</v>
      </c>
    </row>
    <row r="22" spans="1:6" x14ac:dyDescent="0.2">
      <c r="A22" s="3">
        <v>21</v>
      </c>
      <c r="B22" s="3">
        <v>4</v>
      </c>
      <c r="C22" s="3">
        <v>4</v>
      </c>
      <c r="D22" s="3">
        <v>2</v>
      </c>
      <c r="E22" s="3">
        <v>4</v>
      </c>
      <c r="F22" s="4">
        <f t="shared" si="0"/>
        <v>14</v>
      </c>
    </row>
    <row r="23" spans="1:6" x14ac:dyDescent="0.2">
      <c r="A23" s="3">
        <v>22</v>
      </c>
      <c r="B23" s="3">
        <v>2</v>
      </c>
      <c r="C23" s="3">
        <v>3</v>
      </c>
      <c r="D23" s="3">
        <v>3</v>
      </c>
      <c r="E23" s="3">
        <v>3</v>
      </c>
      <c r="F23" s="4">
        <f t="shared" si="0"/>
        <v>11</v>
      </c>
    </row>
    <row r="24" spans="1:6" x14ac:dyDescent="0.2">
      <c r="A24" s="3">
        <v>23</v>
      </c>
      <c r="B24" s="3">
        <v>3</v>
      </c>
      <c r="C24" s="3">
        <v>3</v>
      </c>
      <c r="D24" s="3">
        <v>3</v>
      </c>
      <c r="E24" s="3">
        <v>3</v>
      </c>
      <c r="F24" s="4">
        <f t="shared" si="0"/>
        <v>12</v>
      </c>
    </row>
    <row r="25" spans="1:6" x14ac:dyDescent="0.2">
      <c r="A25" s="3">
        <v>24</v>
      </c>
      <c r="B25" s="3">
        <v>1</v>
      </c>
      <c r="C25" s="3">
        <v>3</v>
      </c>
      <c r="D25" s="3">
        <v>4</v>
      </c>
      <c r="E25" s="3">
        <v>4</v>
      </c>
      <c r="F25" s="4">
        <f t="shared" si="0"/>
        <v>12</v>
      </c>
    </row>
    <row r="26" spans="1:6" x14ac:dyDescent="0.2">
      <c r="A26" s="3">
        <v>25</v>
      </c>
      <c r="B26" s="3">
        <v>3</v>
      </c>
      <c r="C26" s="3">
        <v>3</v>
      </c>
      <c r="D26" s="3">
        <v>3</v>
      </c>
      <c r="E26" s="3">
        <v>3</v>
      </c>
      <c r="F26" s="4">
        <f t="shared" si="0"/>
        <v>12</v>
      </c>
    </row>
    <row r="27" spans="1:6" x14ac:dyDescent="0.2">
      <c r="A27" s="3">
        <v>26</v>
      </c>
      <c r="B27" s="3">
        <v>3</v>
      </c>
      <c r="C27" s="3">
        <v>3</v>
      </c>
      <c r="D27" s="3">
        <v>3</v>
      </c>
      <c r="E27" s="3">
        <v>3</v>
      </c>
      <c r="F27" s="4">
        <f t="shared" si="0"/>
        <v>12</v>
      </c>
    </row>
    <row r="28" spans="1:6" x14ac:dyDescent="0.2">
      <c r="A28" s="3">
        <v>27</v>
      </c>
      <c r="B28" s="3">
        <v>4</v>
      </c>
      <c r="C28" s="3">
        <v>3</v>
      </c>
      <c r="D28" s="3">
        <v>3</v>
      </c>
      <c r="E28" s="3">
        <v>4</v>
      </c>
      <c r="F28" s="4">
        <f t="shared" si="0"/>
        <v>14</v>
      </c>
    </row>
    <row r="29" spans="1:6" x14ac:dyDescent="0.2">
      <c r="A29" s="3">
        <v>28</v>
      </c>
      <c r="B29" s="3">
        <v>2</v>
      </c>
      <c r="C29" s="3">
        <v>4</v>
      </c>
      <c r="D29" s="3">
        <v>3</v>
      </c>
      <c r="E29" s="3">
        <v>3</v>
      </c>
      <c r="F29" s="4">
        <f t="shared" si="0"/>
        <v>12</v>
      </c>
    </row>
    <row r="30" spans="1:6" x14ac:dyDescent="0.2">
      <c r="A30" s="3">
        <v>29</v>
      </c>
      <c r="B30" s="3">
        <v>4</v>
      </c>
      <c r="C30" s="3">
        <v>3</v>
      </c>
      <c r="D30" s="3">
        <v>4</v>
      </c>
      <c r="E30" s="3">
        <v>4</v>
      </c>
      <c r="F30" s="4">
        <f t="shared" si="0"/>
        <v>15</v>
      </c>
    </row>
    <row r="31" spans="1:6" x14ac:dyDescent="0.2">
      <c r="A31" s="3">
        <v>30</v>
      </c>
      <c r="B31" s="3">
        <v>2</v>
      </c>
      <c r="C31" s="3">
        <v>2</v>
      </c>
      <c r="D31" s="3">
        <v>2</v>
      </c>
      <c r="E31" s="3">
        <v>2</v>
      </c>
      <c r="F31" s="4">
        <f t="shared" si="0"/>
        <v>8</v>
      </c>
    </row>
    <row r="32" spans="1:6" x14ac:dyDescent="0.2">
      <c r="A32" s="3">
        <v>31</v>
      </c>
      <c r="B32" s="3">
        <v>4</v>
      </c>
      <c r="C32" s="3">
        <v>4</v>
      </c>
      <c r="D32" s="3">
        <v>4</v>
      </c>
      <c r="E32" s="3">
        <v>4</v>
      </c>
      <c r="F32" s="4">
        <f t="shared" si="0"/>
        <v>16</v>
      </c>
    </row>
    <row r="33" spans="1:6" x14ac:dyDescent="0.2">
      <c r="A33" s="3">
        <v>32</v>
      </c>
      <c r="B33" s="3">
        <v>4</v>
      </c>
      <c r="C33" s="3">
        <v>4</v>
      </c>
      <c r="D33" s="3">
        <v>4</v>
      </c>
      <c r="E33" s="3">
        <v>4</v>
      </c>
      <c r="F33" s="4">
        <f t="shared" si="0"/>
        <v>16</v>
      </c>
    </row>
    <row r="34" spans="1:6" x14ac:dyDescent="0.2">
      <c r="A34" s="3">
        <v>33</v>
      </c>
      <c r="B34" s="3">
        <v>3</v>
      </c>
      <c r="C34" s="3">
        <v>3</v>
      </c>
      <c r="D34" s="3">
        <v>3</v>
      </c>
      <c r="E34" s="3">
        <v>3</v>
      </c>
      <c r="F34" s="4">
        <f t="shared" si="0"/>
        <v>12</v>
      </c>
    </row>
    <row r="35" spans="1:6" x14ac:dyDescent="0.2">
      <c r="A35" s="3">
        <v>34</v>
      </c>
      <c r="B35" s="3">
        <v>3</v>
      </c>
      <c r="C35" s="3">
        <v>3</v>
      </c>
      <c r="D35" s="3">
        <v>3</v>
      </c>
      <c r="E35" s="3">
        <v>3</v>
      </c>
      <c r="F35" s="4">
        <f t="shared" si="0"/>
        <v>12</v>
      </c>
    </row>
    <row r="36" spans="1:6" x14ac:dyDescent="0.2">
      <c r="A36" s="3">
        <v>35</v>
      </c>
      <c r="B36" s="3">
        <v>4</v>
      </c>
      <c r="C36" s="3">
        <v>3</v>
      </c>
      <c r="D36" s="3">
        <v>4</v>
      </c>
      <c r="E36" s="3">
        <v>4</v>
      </c>
      <c r="F36" s="4">
        <f t="shared" si="0"/>
        <v>15</v>
      </c>
    </row>
    <row r="37" spans="1:6" x14ac:dyDescent="0.2">
      <c r="A37" s="3">
        <v>36</v>
      </c>
      <c r="B37" s="3">
        <v>2</v>
      </c>
      <c r="C37" s="3">
        <v>2</v>
      </c>
      <c r="D37" s="3">
        <v>3</v>
      </c>
      <c r="E37" s="3">
        <v>4</v>
      </c>
      <c r="F37" s="4">
        <f t="shared" si="0"/>
        <v>11</v>
      </c>
    </row>
    <row r="38" spans="1:6" x14ac:dyDescent="0.2">
      <c r="A38" s="3">
        <v>37</v>
      </c>
      <c r="B38" s="3">
        <v>2</v>
      </c>
      <c r="C38" s="3">
        <v>2</v>
      </c>
      <c r="D38" s="3">
        <v>2</v>
      </c>
      <c r="E38" s="3">
        <v>2</v>
      </c>
      <c r="F38" s="4">
        <f t="shared" si="0"/>
        <v>8</v>
      </c>
    </row>
    <row r="39" spans="1:6" x14ac:dyDescent="0.2">
      <c r="A39" s="3">
        <v>38</v>
      </c>
      <c r="B39" s="3">
        <v>3</v>
      </c>
      <c r="C39" s="3">
        <v>3</v>
      </c>
      <c r="D39" s="3">
        <v>3</v>
      </c>
      <c r="E39" s="3">
        <v>3</v>
      </c>
      <c r="F39" s="4">
        <f t="shared" si="0"/>
        <v>12</v>
      </c>
    </row>
    <row r="40" spans="1:6" x14ac:dyDescent="0.2">
      <c r="A40" s="3">
        <v>39</v>
      </c>
      <c r="B40" s="3">
        <v>3</v>
      </c>
      <c r="C40" s="3">
        <v>4</v>
      </c>
      <c r="D40" s="3">
        <v>4</v>
      </c>
      <c r="E40" s="3">
        <v>3</v>
      </c>
      <c r="F40" s="4">
        <f t="shared" si="0"/>
        <v>14</v>
      </c>
    </row>
    <row r="41" spans="1:6" x14ac:dyDescent="0.2">
      <c r="A41" s="3">
        <v>40</v>
      </c>
      <c r="B41" s="3">
        <v>4</v>
      </c>
      <c r="C41" s="3">
        <v>3</v>
      </c>
      <c r="D41" s="3">
        <v>4</v>
      </c>
      <c r="E41" s="3">
        <v>3</v>
      </c>
      <c r="F41" s="4">
        <f t="shared" si="0"/>
        <v>14</v>
      </c>
    </row>
    <row r="42" spans="1:6" x14ac:dyDescent="0.2">
      <c r="A42" s="3">
        <v>41</v>
      </c>
      <c r="B42" s="3">
        <v>3</v>
      </c>
      <c r="C42" s="3">
        <v>3</v>
      </c>
      <c r="D42" s="3">
        <v>4</v>
      </c>
      <c r="E42" s="3">
        <v>3</v>
      </c>
      <c r="F42" s="4">
        <f t="shared" si="0"/>
        <v>13</v>
      </c>
    </row>
    <row r="43" spans="1:6" x14ac:dyDescent="0.2">
      <c r="A43" s="3">
        <v>42</v>
      </c>
      <c r="B43" s="3">
        <v>3</v>
      </c>
      <c r="C43" s="3">
        <v>3</v>
      </c>
      <c r="D43" s="3">
        <v>4</v>
      </c>
      <c r="E43" s="3">
        <v>4</v>
      </c>
      <c r="F43" s="4">
        <f t="shared" si="0"/>
        <v>14</v>
      </c>
    </row>
    <row r="44" spans="1:6" x14ac:dyDescent="0.2">
      <c r="A44" s="3">
        <v>43</v>
      </c>
      <c r="B44" s="3">
        <v>3</v>
      </c>
      <c r="C44" s="3">
        <v>3</v>
      </c>
      <c r="D44" s="3">
        <v>4</v>
      </c>
      <c r="E44" s="3">
        <v>3</v>
      </c>
      <c r="F44" s="4">
        <f t="shared" si="0"/>
        <v>13</v>
      </c>
    </row>
    <row r="45" spans="1:6" x14ac:dyDescent="0.2">
      <c r="A45" s="3">
        <v>44</v>
      </c>
      <c r="B45" s="3">
        <v>1</v>
      </c>
      <c r="C45" s="3">
        <v>1</v>
      </c>
      <c r="D45" s="3">
        <v>1</v>
      </c>
      <c r="E45" s="3">
        <v>1</v>
      </c>
      <c r="F45" s="4">
        <f t="shared" si="0"/>
        <v>4</v>
      </c>
    </row>
    <row r="46" spans="1:6" x14ac:dyDescent="0.2">
      <c r="A46" s="3">
        <v>45</v>
      </c>
      <c r="B46" s="3">
        <v>3</v>
      </c>
      <c r="C46" s="3">
        <v>3</v>
      </c>
      <c r="D46" s="3">
        <v>3</v>
      </c>
      <c r="E46" s="3">
        <v>3</v>
      </c>
      <c r="F46" s="4">
        <f t="shared" si="0"/>
        <v>12</v>
      </c>
    </row>
    <row r="47" spans="1:6" x14ac:dyDescent="0.2">
      <c r="A47" s="3">
        <v>46</v>
      </c>
      <c r="B47" s="3">
        <v>3</v>
      </c>
      <c r="C47" s="3">
        <v>3</v>
      </c>
      <c r="D47" s="3">
        <v>4</v>
      </c>
      <c r="E47" s="3">
        <v>4</v>
      </c>
      <c r="F47" s="4">
        <f t="shared" si="0"/>
        <v>14</v>
      </c>
    </row>
    <row r="48" spans="1:6" x14ac:dyDescent="0.2">
      <c r="A48" s="3">
        <v>47</v>
      </c>
      <c r="B48" s="3">
        <v>3</v>
      </c>
      <c r="C48" s="3">
        <v>4</v>
      </c>
      <c r="D48" s="3">
        <v>4</v>
      </c>
      <c r="E48" s="3">
        <v>3</v>
      </c>
      <c r="F48" s="4">
        <f t="shared" si="0"/>
        <v>14</v>
      </c>
    </row>
    <row r="49" spans="1:9" x14ac:dyDescent="0.2">
      <c r="A49" s="3">
        <v>48</v>
      </c>
      <c r="B49" s="3">
        <v>1</v>
      </c>
      <c r="C49" s="3">
        <v>2</v>
      </c>
      <c r="D49" s="3">
        <v>2</v>
      </c>
      <c r="E49" s="3">
        <v>3</v>
      </c>
      <c r="F49" s="4">
        <f t="shared" si="0"/>
        <v>8</v>
      </c>
    </row>
    <row r="50" spans="1:9" x14ac:dyDescent="0.2">
      <c r="A50" s="3">
        <v>49</v>
      </c>
      <c r="B50" s="3">
        <v>2</v>
      </c>
      <c r="C50" s="3">
        <v>1</v>
      </c>
      <c r="D50" s="3">
        <v>2</v>
      </c>
      <c r="E50" s="3">
        <v>2</v>
      </c>
      <c r="F50" s="4">
        <f t="shared" si="0"/>
        <v>7</v>
      </c>
    </row>
    <row r="51" spans="1:9" x14ac:dyDescent="0.2">
      <c r="A51" s="3">
        <v>50</v>
      </c>
      <c r="B51" s="3">
        <v>3</v>
      </c>
      <c r="C51" s="3">
        <v>3</v>
      </c>
      <c r="D51" s="3">
        <v>4</v>
      </c>
      <c r="E51" s="3">
        <v>4</v>
      </c>
      <c r="F51" s="4">
        <f t="shared" si="0"/>
        <v>14</v>
      </c>
    </row>
    <row r="52" spans="1:9" x14ac:dyDescent="0.2">
      <c r="A52" s="3" t="s">
        <v>5</v>
      </c>
      <c r="B52" s="8">
        <f t="shared" ref="B52:F52" si="1">SUM(B2:B51)</f>
        <v>148</v>
      </c>
      <c r="C52" s="8">
        <f t="shared" si="1"/>
        <v>150</v>
      </c>
      <c r="D52" s="8">
        <f t="shared" si="1"/>
        <v>164</v>
      </c>
      <c r="E52" s="8">
        <f t="shared" si="1"/>
        <v>160</v>
      </c>
      <c r="F52" s="9">
        <f t="shared" si="1"/>
        <v>622</v>
      </c>
    </row>
    <row r="54" spans="1:9" x14ac:dyDescent="0.2">
      <c r="A54" s="10" t="s">
        <v>129</v>
      </c>
      <c r="B54" s="11"/>
      <c r="C54" s="11"/>
      <c r="D54" s="11"/>
      <c r="E54" s="11"/>
    </row>
    <row r="55" spans="1:9" x14ac:dyDescent="0.2">
      <c r="A55" s="12" t="s">
        <v>131</v>
      </c>
      <c r="B55" s="13">
        <v>0.27900000000000003</v>
      </c>
      <c r="C55" s="13">
        <v>0.27900000000000003</v>
      </c>
      <c r="D55" s="13">
        <v>0.27900000000000003</v>
      </c>
      <c r="E55" s="13">
        <v>0.27900000000000003</v>
      </c>
    </row>
    <row r="56" spans="1:9" x14ac:dyDescent="0.2">
      <c r="A56" s="12" t="s">
        <v>134</v>
      </c>
      <c r="B56" s="14">
        <f t="shared" ref="B56:E56" si="2">CORREL(B2:B51,$F$2:$F$51)</f>
        <v>0.86064639784638097</v>
      </c>
      <c r="C56" s="14">
        <f t="shared" si="2"/>
        <v>0.86376197843267288</v>
      </c>
      <c r="D56" s="14">
        <f t="shared" si="2"/>
        <v>0.87014585502816943</v>
      </c>
      <c r="E56" s="14">
        <f t="shared" si="2"/>
        <v>0.86133768669844624</v>
      </c>
    </row>
    <row r="57" spans="1:9" x14ac:dyDescent="0.2">
      <c r="A57" s="12" t="s">
        <v>138</v>
      </c>
      <c r="B57" s="15" t="str">
        <f t="shared" ref="B57:E57" si="3">IF(B56&gt;B55,"Valid","Tidak Valid")</f>
        <v>Valid</v>
      </c>
      <c r="C57" s="15" t="str">
        <f t="shared" si="3"/>
        <v>Valid</v>
      </c>
      <c r="D57" s="15" t="str">
        <f t="shared" si="3"/>
        <v>Valid</v>
      </c>
      <c r="E57" s="15" t="str">
        <f t="shared" si="3"/>
        <v>Valid</v>
      </c>
    </row>
    <row r="58" spans="1:9" x14ac:dyDescent="0.2">
      <c r="A58" s="11"/>
      <c r="B58" s="11"/>
      <c r="C58" s="11"/>
      <c r="D58" s="11"/>
      <c r="E58" s="11"/>
    </row>
    <row r="59" spans="1:9" x14ac:dyDescent="0.2">
      <c r="A59" s="11"/>
      <c r="B59" s="11"/>
      <c r="C59" s="11"/>
      <c r="D59" s="11"/>
      <c r="E59" s="11"/>
    </row>
    <row r="60" spans="1:9" x14ac:dyDescent="0.2">
      <c r="A60" s="10" t="s">
        <v>140</v>
      </c>
      <c r="B60" s="11"/>
      <c r="C60" s="11"/>
      <c r="D60" s="11"/>
      <c r="E60" s="11"/>
    </row>
    <row r="61" spans="1:9" x14ac:dyDescent="0.2">
      <c r="A61" s="12" t="s">
        <v>141</v>
      </c>
      <c r="B61" s="14">
        <f t="shared" ref="B61:E61" si="4">VAR(B1:B51)</f>
        <v>0.77387755102040845</v>
      </c>
      <c r="C61" s="14">
        <f t="shared" si="4"/>
        <v>0.5714285714285714</v>
      </c>
      <c r="D61" s="14">
        <f t="shared" si="4"/>
        <v>0.61387755102040897</v>
      </c>
      <c r="E61" s="14">
        <f t="shared" si="4"/>
        <v>0.53061224489795922</v>
      </c>
    </row>
    <row r="62" spans="1:9" x14ac:dyDescent="0.2">
      <c r="A62" s="12" t="s">
        <v>142</v>
      </c>
      <c r="B62" s="14">
        <f>SUM(B61:E61)</f>
        <v>2.4897959183673479</v>
      </c>
      <c r="C62" s="12"/>
      <c r="D62" s="12"/>
      <c r="E62" s="12"/>
    </row>
    <row r="63" spans="1:9" x14ac:dyDescent="0.2">
      <c r="A63" s="12" t="s">
        <v>143</v>
      </c>
      <c r="B63" s="14">
        <f>VAR(F1:F51)</f>
        <v>7.3942857142857079</v>
      </c>
      <c r="C63" s="12"/>
      <c r="D63" s="12"/>
      <c r="E63" s="12"/>
    </row>
    <row r="64" spans="1:9" x14ac:dyDescent="0.2">
      <c r="A64" s="12" t="s">
        <v>138</v>
      </c>
      <c r="B64" s="14">
        <f>(4/3)*(1-B62/B63)</f>
        <v>0.88437477000073539</v>
      </c>
      <c r="C64" s="26" t="str">
        <f>IF(B64&lt;0.8,"Tidak Reliabel","Reliabel")</f>
        <v>Reliabel</v>
      </c>
      <c r="D64" s="27"/>
      <c r="E64" s="28"/>
      <c r="F64" s="16"/>
      <c r="G64" s="16"/>
      <c r="H64" s="16"/>
      <c r="I64" s="16"/>
    </row>
  </sheetData>
  <mergeCells count="1">
    <mergeCell ref="C64:E6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61"/>
  <sheetViews>
    <sheetView workbookViewId="0"/>
  </sheetViews>
  <sheetFormatPr defaultColWidth="12.5703125" defaultRowHeight="15.75" customHeight="1" x14ac:dyDescent="0.2"/>
  <cols>
    <col min="13" max="13" width="127" customWidth="1"/>
  </cols>
  <sheetData>
    <row r="1" spans="1:13" x14ac:dyDescent="0.2">
      <c r="A1" s="1" t="s">
        <v>0</v>
      </c>
      <c r="B1" s="1" t="s">
        <v>1</v>
      </c>
      <c r="C1" s="1" t="s">
        <v>2</v>
      </c>
      <c r="D1" s="1" t="s">
        <v>3</v>
      </c>
      <c r="E1" s="1" t="s">
        <v>4</v>
      </c>
      <c r="F1" s="1" t="s">
        <v>6</v>
      </c>
      <c r="G1" s="1" t="s">
        <v>7</v>
      </c>
      <c r="H1" s="1" t="s">
        <v>8</v>
      </c>
      <c r="I1" s="1" t="s">
        <v>9</v>
      </c>
      <c r="J1" s="1" t="s">
        <v>5</v>
      </c>
    </row>
    <row r="2" spans="1:13" x14ac:dyDescent="0.2">
      <c r="A2" s="3">
        <v>1</v>
      </c>
      <c r="B2" s="3">
        <v>2</v>
      </c>
      <c r="C2" s="3">
        <v>2</v>
      </c>
      <c r="D2" s="3">
        <v>4</v>
      </c>
      <c r="E2" s="3">
        <v>2</v>
      </c>
      <c r="F2" s="3">
        <v>2</v>
      </c>
      <c r="G2" s="3">
        <v>2</v>
      </c>
      <c r="H2" s="3">
        <v>4</v>
      </c>
      <c r="I2" s="3">
        <v>4</v>
      </c>
      <c r="J2" s="4">
        <f t="shared" ref="J2:J48" si="0">SUM(B2:I2)</f>
        <v>22</v>
      </c>
      <c r="L2" s="5" t="s">
        <v>1</v>
      </c>
      <c r="M2" s="5" t="s">
        <v>11</v>
      </c>
    </row>
    <row r="3" spans="1:13" x14ac:dyDescent="0.2">
      <c r="A3" s="3">
        <v>2</v>
      </c>
      <c r="B3" s="3">
        <v>2</v>
      </c>
      <c r="C3" s="3">
        <v>2</v>
      </c>
      <c r="D3" s="3">
        <v>3</v>
      </c>
      <c r="E3" s="3">
        <v>2</v>
      </c>
      <c r="F3" s="3">
        <v>3</v>
      </c>
      <c r="G3" s="3">
        <v>4</v>
      </c>
      <c r="H3" s="3">
        <v>4</v>
      </c>
      <c r="I3" s="3">
        <v>4</v>
      </c>
      <c r="J3" s="4">
        <f t="shared" si="0"/>
        <v>24</v>
      </c>
      <c r="L3" s="5" t="s">
        <v>2</v>
      </c>
      <c r="M3" s="5" t="s">
        <v>16</v>
      </c>
    </row>
    <row r="4" spans="1:13" x14ac:dyDescent="0.2">
      <c r="A4" s="3">
        <v>3</v>
      </c>
      <c r="B4" s="3">
        <v>3</v>
      </c>
      <c r="C4" s="3">
        <v>3</v>
      </c>
      <c r="D4" s="3">
        <v>4</v>
      </c>
      <c r="E4" s="3">
        <v>2</v>
      </c>
      <c r="F4" s="3">
        <v>3</v>
      </c>
      <c r="G4" s="3">
        <v>2</v>
      </c>
      <c r="H4" s="3">
        <v>4</v>
      </c>
      <c r="I4" s="3">
        <v>1</v>
      </c>
      <c r="J4" s="4">
        <f t="shared" si="0"/>
        <v>22</v>
      </c>
      <c r="L4" s="5" t="s">
        <v>3</v>
      </c>
      <c r="M4" s="5" t="s">
        <v>27</v>
      </c>
    </row>
    <row r="5" spans="1:13" x14ac:dyDescent="0.2">
      <c r="A5" s="3">
        <v>4</v>
      </c>
      <c r="B5" s="3">
        <v>4</v>
      </c>
      <c r="C5" s="3">
        <v>4</v>
      </c>
      <c r="D5" s="3">
        <v>4</v>
      </c>
      <c r="E5" s="3">
        <v>4</v>
      </c>
      <c r="F5" s="3">
        <v>4</v>
      </c>
      <c r="G5" s="3">
        <v>4</v>
      </c>
      <c r="H5" s="3">
        <v>4</v>
      </c>
      <c r="I5" s="3">
        <v>4</v>
      </c>
      <c r="J5" s="4">
        <f t="shared" si="0"/>
        <v>32</v>
      </c>
      <c r="L5" s="5" t="s">
        <v>4</v>
      </c>
      <c r="M5" s="5" t="s">
        <v>39</v>
      </c>
    </row>
    <row r="6" spans="1:13" x14ac:dyDescent="0.2">
      <c r="A6" s="3">
        <v>5</v>
      </c>
      <c r="B6" s="3">
        <v>3</v>
      </c>
      <c r="C6" s="3">
        <v>2</v>
      </c>
      <c r="D6" s="3">
        <v>3</v>
      </c>
      <c r="E6" s="3">
        <v>2</v>
      </c>
      <c r="F6" s="3">
        <v>4</v>
      </c>
      <c r="G6" s="3">
        <v>4</v>
      </c>
      <c r="H6" s="3">
        <v>4</v>
      </c>
      <c r="I6" s="3">
        <v>4</v>
      </c>
      <c r="J6" s="4">
        <f t="shared" si="0"/>
        <v>26</v>
      </c>
      <c r="L6" s="5" t="s">
        <v>6</v>
      </c>
      <c r="M6" s="5" t="s">
        <v>49</v>
      </c>
    </row>
    <row r="7" spans="1:13" x14ac:dyDescent="0.2">
      <c r="A7" s="3">
        <v>6</v>
      </c>
      <c r="B7" s="3">
        <v>3</v>
      </c>
      <c r="C7" s="3">
        <v>3</v>
      </c>
      <c r="D7" s="3">
        <v>3</v>
      </c>
      <c r="E7" s="3">
        <v>3</v>
      </c>
      <c r="F7" s="3">
        <v>3</v>
      </c>
      <c r="G7" s="3">
        <v>3</v>
      </c>
      <c r="H7" s="3">
        <v>3</v>
      </c>
      <c r="I7" s="3">
        <v>3</v>
      </c>
      <c r="J7" s="4">
        <f t="shared" si="0"/>
        <v>24</v>
      </c>
      <c r="L7" s="5" t="s">
        <v>7</v>
      </c>
      <c r="M7" s="5" t="s">
        <v>58</v>
      </c>
    </row>
    <row r="8" spans="1:13" x14ac:dyDescent="0.2">
      <c r="A8" s="3">
        <v>7</v>
      </c>
      <c r="B8" s="3">
        <v>4</v>
      </c>
      <c r="C8" s="3">
        <v>4</v>
      </c>
      <c r="D8" s="3">
        <v>4</v>
      </c>
      <c r="E8" s="3">
        <v>4</v>
      </c>
      <c r="F8" s="3">
        <v>4</v>
      </c>
      <c r="G8" s="3">
        <v>4</v>
      </c>
      <c r="H8" s="3">
        <v>4</v>
      </c>
      <c r="I8" s="3">
        <v>4</v>
      </c>
      <c r="J8" s="4">
        <f t="shared" si="0"/>
        <v>32</v>
      </c>
      <c r="L8" s="5" t="s">
        <v>8</v>
      </c>
      <c r="M8" s="5" t="s">
        <v>66</v>
      </c>
    </row>
    <row r="9" spans="1:13" x14ac:dyDescent="0.2">
      <c r="A9" s="3">
        <v>8</v>
      </c>
      <c r="B9" s="3">
        <v>2</v>
      </c>
      <c r="C9" s="3">
        <v>3</v>
      </c>
      <c r="D9" s="3">
        <v>4</v>
      </c>
      <c r="E9" s="3">
        <v>3</v>
      </c>
      <c r="F9" s="3">
        <v>3</v>
      </c>
      <c r="G9" s="3">
        <v>2</v>
      </c>
      <c r="H9" s="3">
        <v>4</v>
      </c>
      <c r="I9" s="3">
        <v>4</v>
      </c>
      <c r="J9" s="4">
        <f t="shared" si="0"/>
        <v>25</v>
      </c>
      <c r="L9" s="5" t="s">
        <v>9</v>
      </c>
      <c r="M9" s="5" t="s">
        <v>70</v>
      </c>
    </row>
    <row r="10" spans="1:13" x14ac:dyDescent="0.2">
      <c r="A10" s="3">
        <v>9</v>
      </c>
      <c r="B10" s="3">
        <v>4</v>
      </c>
      <c r="C10" s="3">
        <v>4</v>
      </c>
      <c r="D10" s="3">
        <v>3</v>
      </c>
      <c r="E10" s="3">
        <v>3</v>
      </c>
      <c r="F10" s="3">
        <v>3</v>
      </c>
      <c r="G10" s="3">
        <v>3</v>
      </c>
      <c r="H10" s="3">
        <v>3</v>
      </c>
      <c r="I10" s="3">
        <v>4</v>
      </c>
      <c r="J10" s="4">
        <f t="shared" si="0"/>
        <v>27</v>
      </c>
    </row>
    <row r="11" spans="1:13" x14ac:dyDescent="0.2">
      <c r="A11" s="3">
        <v>10</v>
      </c>
      <c r="B11" s="3">
        <v>4</v>
      </c>
      <c r="C11" s="3">
        <v>4</v>
      </c>
      <c r="D11" s="3">
        <v>4</v>
      </c>
      <c r="E11" s="3">
        <v>4</v>
      </c>
      <c r="F11" s="3">
        <v>4</v>
      </c>
      <c r="G11" s="3">
        <v>4</v>
      </c>
      <c r="H11" s="3">
        <v>4</v>
      </c>
      <c r="I11" s="3">
        <v>4</v>
      </c>
      <c r="J11" s="4">
        <f t="shared" si="0"/>
        <v>32</v>
      </c>
    </row>
    <row r="12" spans="1:13" x14ac:dyDescent="0.2">
      <c r="A12" s="3">
        <v>11</v>
      </c>
      <c r="B12" s="3">
        <v>1</v>
      </c>
      <c r="C12" s="3">
        <v>1</v>
      </c>
      <c r="D12" s="3">
        <v>1</v>
      </c>
      <c r="E12" s="3">
        <v>1</v>
      </c>
      <c r="F12" s="3">
        <v>1</v>
      </c>
      <c r="G12" s="3">
        <v>1</v>
      </c>
      <c r="H12" s="3">
        <v>4</v>
      </c>
      <c r="I12" s="3">
        <v>1</v>
      </c>
      <c r="J12" s="4">
        <f t="shared" si="0"/>
        <v>11</v>
      </c>
    </row>
    <row r="13" spans="1:13" x14ac:dyDescent="0.2">
      <c r="A13" s="3">
        <v>12</v>
      </c>
      <c r="B13" s="3">
        <v>2</v>
      </c>
      <c r="C13" s="3">
        <v>2</v>
      </c>
      <c r="D13" s="3">
        <v>2</v>
      </c>
      <c r="E13" s="3">
        <v>3</v>
      </c>
      <c r="F13" s="3">
        <v>4</v>
      </c>
      <c r="G13" s="3">
        <v>4</v>
      </c>
      <c r="H13" s="3">
        <v>3</v>
      </c>
      <c r="I13" s="3">
        <v>3</v>
      </c>
      <c r="J13" s="4">
        <f t="shared" si="0"/>
        <v>23</v>
      </c>
    </row>
    <row r="14" spans="1:13" x14ac:dyDescent="0.2">
      <c r="A14" s="3">
        <v>13</v>
      </c>
      <c r="B14" s="3">
        <v>3</v>
      </c>
      <c r="C14" s="3">
        <v>3</v>
      </c>
      <c r="D14" s="3">
        <v>4</v>
      </c>
      <c r="E14" s="3">
        <v>3</v>
      </c>
      <c r="F14" s="3">
        <v>4</v>
      </c>
      <c r="G14" s="3">
        <v>3</v>
      </c>
      <c r="H14" s="3">
        <v>4</v>
      </c>
      <c r="I14" s="3">
        <v>4</v>
      </c>
      <c r="J14" s="4">
        <f t="shared" si="0"/>
        <v>28</v>
      </c>
    </row>
    <row r="15" spans="1:13" x14ac:dyDescent="0.2">
      <c r="A15" s="3">
        <v>14</v>
      </c>
      <c r="B15" s="3">
        <v>2</v>
      </c>
      <c r="C15" s="3">
        <v>2</v>
      </c>
      <c r="D15" s="3">
        <v>2</v>
      </c>
      <c r="E15" s="3">
        <v>2</v>
      </c>
      <c r="F15" s="3">
        <v>2</v>
      </c>
      <c r="G15" s="3">
        <v>2</v>
      </c>
      <c r="H15" s="3">
        <v>2</v>
      </c>
      <c r="I15" s="3">
        <v>3</v>
      </c>
      <c r="J15" s="4">
        <f t="shared" si="0"/>
        <v>17</v>
      </c>
    </row>
    <row r="16" spans="1:13" x14ac:dyDescent="0.2">
      <c r="A16" s="3">
        <v>15</v>
      </c>
      <c r="B16" s="3">
        <v>4</v>
      </c>
      <c r="C16" s="3">
        <v>4</v>
      </c>
      <c r="D16" s="3">
        <v>4</v>
      </c>
      <c r="E16" s="3">
        <v>4</v>
      </c>
      <c r="F16" s="3">
        <v>4</v>
      </c>
      <c r="G16" s="3">
        <v>4</v>
      </c>
      <c r="H16" s="3">
        <v>4</v>
      </c>
      <c r="I16" s="3">
        <v>4</v>
      </c>
      <c r="J16" s="4">
        <f t="shared" si="0"/>
        <v>32</v>
      </c>
    </row>
    <row r="17" spans="1:10" x14ac:dyDescent="0.2">
      <c r="A17" s="3">
        <v>16</v>
      </c>
      <c r="B17" s="3">
        <v>3</v>
      </c>
      <c r="C17" s="3">
        <v>2</v>
      </c>
      <c r="D17" s="3">
        <v>2</v>
      </c>
      <c r="E17" s="3">
        <v>2</v>
      </c>
      <c r="F17" s="3">
        <v>2</v>
      </c>
      <c r="G17" s="3">
        <v>2</v>
      </c>
      <c r="H17" s="3">
        <v>2</v>
      </c>
      <c r="I17" s="3">
        <v>4</v>
      </c>
      <c r="J17" s="4">
        <f t="shared" si="0"/>
        <v>19</v>
      </c>
    </row>
    <row r="18" spans="1:10" x14ac:dyDescent="0.2">
      <c r="A18" s="3">
        <v>17</v>
      </c>
      <c r="B18" s="3">
        <v>2</v>
      </c>
      <c r="C18" s="3">
        <v>2</v>
      </c>
      <c r="D18" s="3">
        <v>1</v>
      </c>
      <c r="E18" s="3">
        <v>1</v>
      </c>
      <c r="F18" s="3">
        <v>1</v>
      </c>
      <c r="G18" s="3">
        <v>1</v>
      </c>
      <c r="H18" s="3">
        <v>1</v>
      </c>
      <c r="I18" s="3">
        <v>1</v>
      </c>
      <c r="J18" s="4">
        <f t="shared" si="0"/>
        <v>10</v>
      </c>
    </row>
    <row r="19" spans="1:10" x14ac:dyDescent="0.2">
      <c r="A19" s="3">
        <v>18</v>
      </c>
      <c r="B19" s="3">
        <v>2</v>
      </c>
      <c r="C19" s="3">
        <v>2</v>
      </c>
      <c r="D19" s="3">
        <v>3</v>
      </c>
      <c r="E19" s="3">
        <v>2</v>
      </c>
      <c r="F19" s="3">
        <v>2</v>
      </c>
      <c r="G19" s="3">
        <v>2</v>
      </c>
      <c r="H19" s="3">
        <v>1</v>
      </c>
      <c r="I19" s="3">
        <v>1</v>
      </c>
      <c r="J19" s="4">
        <f t="shared" si="0"/>
        <v>15</v>
      </c>
    </row>
    <row r="20" spans="1:10" x14ac:dyDescent="0.2">
      <c r="A20" s="3">
        <v>19</v>
      </c>
      <c r="B20" s="3">
        <v>2</v>
      </c>
      <c r="C20" s="3">
        <v>3</v>
      </c>
      <c r="D20" s="3">
        <v>2</v>
      </c>
      <c r="E20" s="3">
        <v>2</v>
      </c>
      <c r="F20" s="3">
        <v>2</v>
      </c>
      <c r="G20" s="3">
        <v>1</v>
      </c>
      <c r="H20" s="3">
        <v>2</v>
      </c>
      <c r="I20" s="3">
        <v>2</v>
      </c>
      <c r="J20" s="4">
        <f t="shared" si="0"/>
        <v>16</v>
      </c>
    </row>
    <row r="21" spans="1:10" x14ac:dyDescent="0.2">
      <c r="A21" s="3">
        <v>20</v>
      </c>
      <c r="B21" s="3">
        <v>3</v>
      </c>
      <c r="C21" s="3">
        <v>3</v>
      </c>
      <c r="D21" s="3">
        <v>3</v>
      </c>
      <c r="E21" s="3">
        <v>3</v>
      </c>
      <c r="F21" s="3">
        <v>2</v>
      </c>
      <c r="G21" s="3">
        <v>3</v>
      </c>
      <c r="H21" s="3">
        <v>4</v>
      </c>
      <c r="I21" s="3">
        <v>4</v>
      </c>
      <c r="J21" s="4">
        <f t="shared" si="0"/>
        <v>25</v>
      </c>
    </row>
    <row r="22" spans="1:10" x14ac:dyDescent="0.2">
      <c r="A22" s="3">
        <v>21</v>
      </c>
      <c r="B22" s="3">
        <v>2</v>
      </c>
      <c r="C22" s="3">
        <v>3</v>
      </c>
      <c r="D22" s="3">
        <v>3</v>
      </c>
      <c r="E22" s="3">
        <v>2</v>
      </c>
      <c r="F22" s="3">
        <v>2</v>
      </c>
      <c r="G22" s="3">
        <v>3</v>
      </c>
      <c r="H22" s="3">
        <v>2</v>
      </c>
      <c r="I22" s="3">
        <v>2</v>
      </c>
      <c r="J22" s="4">
        <f t="shared" si="0"/>
        <v>19</v>
      </c>
    </row>
    <row r="23" spans="1:10" x14ac:dyDescent="0.2">
      <c r="A23" s="3">
        <v>22</v>
      </c>
      <c r="B23" s="3">
        <v>3</v>
      </c>
      <c r="C23" s="3">
        <v>3</v>
      </c>
      <c r="D23" s="3">
        <v>2</v>
      </c>
      <c r="E23" s="3">
        <v>2</v>
      </c>
      <c r="F23" s="3">
        <v>2</v>
      </c>
      <c r="G23" s="3">
        <v>4</v>
      </c>
      <c r="H23" s="3">
        <v>2</v>
      </c>
      <c r="I23" s="3">
        <v>2</v>
      </c>
      <c r="J23" s="4">
        <f t="shared" si="0"/>
        <v>20</v>
      </c>
    </row>
    <row r="24" spans="1:10" x14ac:dyDescent="0.2">
      <c r="A24" s="3">
        <v>23</v>
      </c>
      <c r="B24" s="3">
        <v>1</v>
      </c>
      <c r="C24" s="3">
        <v>1</v>
      </c>
      <c r="D24" s="3">
        <v>1</v>
      </c>
      <c r="E24" s="3">
        <v>1</v>
      </c>
      <c r="F24" s="3">
        <v>1</v>
      </c>
      <c r="G24" s="3">
        <v>1</v>
      </c>
      <c r="H24" s="3">
        <v>1</v>
      </c>
      <c r="I24" s="3">
        <v>1</v>
      </c>
      <c r="J24" s="4">
        <f t="shared" si="0"/>
        <v>8</v>
      </c>
    </row>
    <row r="25" spans="1:10" x14ac:dyDescent="0.2">
      <c r="A25" s="3">
        <v>24</v>
      </c>
      <c r="B25" s="3">
        <v>1</v>
      </c>
      <c r="C25" s="3">
        <v>2</v>
      </c>
      <c r="D25" s="3">
        <v>2</v>
      </c>
      <c r="E25" s="3">
        <v>1</v>
      </c>
      <c r="F25" s="3">
        <v>2</v>
      </c>
      <c r="G25" s="3">
        <v>1</v>
      </c>
      <c r="H25" s="3">
        <v>2</v>
      </c>
      <c r="I25" s="3">
        <v>3</v>
      </c>
      <c r="J25" s="4">
        <f t="shared" si="0"/>
        <v>14</v>
      </c>
    </row>
    <row r="26" spans="1:10" x14ac:dyDescent="0.2">
      <c r="A26" s="3">
        <v>25</v>
      </c>
      <c r="B26" s="3">
        <v>3</v>
      </c>
      <c r="C26" s="3">
        <v>3</v>
      </c>
      <c r="D26" s="3">
        <v>4</v>
      </c>
      <c r="E26" s="3">
        <v>3</v>
      </c>
      <c r="F26" s="3">
        <v>3</v>
      </c>
      <c r="G26" s="3">
        <v>3</v>
      </c>
      <c r="H26" s="3">
        <v>4</v>
      </c>
      <c r="I26" s="3">
        <v>4</v>
      </c>
      <c r="J26" s="4">
        <f t="shared" si="0"/>
        <v>27</v>
      </c>
    </row>
    <row r="27" spans="1:10" x14ac:dyDescent="0.2">
      <c r="A27" s="3">
        <v>26</v>
      </c>
      <c r="B27" s="3">
        <v>3</v>
      </c>
      <c r="C27" s="3">
        <v>3</v>
      </c>
      <c r="D27" s="3">
        <v>3</v>
      </c>
      <c r="E27" s="3">
        <v>2</v>
      </c>
      <c r="F27" s="3">
        <v>3</v>
      </c>
      <c r="G27" s="3">
        <v>3</v>
      </c>
      <c r="H27" s="3">
        <v>3</v>
      </c>
      <c r="I27" s="3">
        <v>2</v>
      </c>
      <c r="J27" s="4">
        <f t="shared" si="0"/>
        <v>22</v>
      </c>
    </row>
    <row r="28" spans="1:10" x14ac:dyDescent="0.2">
      <c r="A28" s="3">
        <v>27</v>
      </c>
      <c r="B28" s="3">
        <v>1</v>
      </c>
      <c r="C28" s="3">
        <v>1</v>
      </c>
      <c r="D28" s="3">
        <v>1</v>
      </c>
      <c r="E28" s="3">
        <v>3</v>
      </c>
      <c r="F28" s="3">
        <v>3</v>
      </c>
      <c r="G28" s="3">
        <v>2</v>
      </c>
      <c r="H28" s="3">
        <v>1</v>
      </c>
      <c r="I28" s="3">
        <v>2</v>
      </c>
      <c r="J28" s="4">
        <f t="shared" si="0"/>
        <v>14</v>
      </c>
    </row>
    <row r="29" spans="1:10" x14ac:dyDescent="0.2">
      <c r="A29" s="3">
        <v>28</v>
      </c>
      <c r="B29" s="3">
        <v>3</v>
      </c>
      <c r="C29" s="3">
        <v>4</v>
      </c>
      <c r="D29" s="3">
        <v>4</v>
      </c>
      <c r="E29" s="3">
        <v>4</v>
      </c>
      <c r="F29" s="3">
        <v>3</v>
      </c>
      <c r="G29" s="3">
        <v>3</v>
      </c>
      <c r="H29" s="3">
        <v>4</v>
      </c>
      <c r="I29" s="3">
        <v>4</v>
      </c>
      <c r="J29" s="4">
        <f t="shared" si="0"/>
        <v>29</v>
      </c>
    </row>
    <row r="30" spans="1:10" x14ac:dyDescent="0.2">
      <c r="A30" s="3">
        <v>29</v>
      </c>
      <c r="B30" s="3">
        <v>2</v>
      </c>
      <c r="C30" s="3">
        <v>2</v>
      </c>
      <c r="D30" s="3">
        <v>2</v>
      </c>
      <c r="E30" s="3">
        <v>2</v>
      </c>
      <c r="F30" s="3">
        <v>2</v>
      </c>
      <c r="G30" s="3">
        <v>2</v>
      </c>
      <c r="H30" s="3">
        <v>2</v>
      </c>
      <c r="I30" s="3">
        <v>2</v>
      </c>
      <c r="J30" s="4">
        <f t="shared" si="0"/>
        <v>16</v>
      </c>
    </row>
    <row r="31" spans="1:10" x14ac:dyDescent="0.2">
      <c r="A31" s="3">
        <v>30</v>
      </c>
      <c r="B31" s="3">
        <v>4</v>
      </c>
      <c r="C31" s="3">
        <v>4</v>
      </c>
      <c r="D31" s="3">
        <v>4</v>
      </c>
      <c r="E31" s="3">
        <v>4</v>
      </c>
      <c r="F31" s="3">
        <v>4</v>
      </c>
      <c r="G31" s="3">
        <v>4</v>
      </c>
      <c r="H31" s="3">
        <v>4</v>
      </c>
      <c r="I31" s="3">
        <v>4</v>
      </c>
      <c r="J31" s="4">
        <f t="shared" si="0"/>
        <v>32</v>
      </c>
    </row>
    <row r="32" spans="1:10" x14ac:dyDescent="0.2">
      <c r="A32" s="3">
        <v>31</v>
      </c>
      <c r="B32" s="3">
        <v>1</v>
      </c>
      <c r="C32" s="3">
        <v>1</v>
      </c>
      <c r="D32" s="3">
        <v>1</v>
      </c>
      <c r="E32" s="3">
        <v>1</v>
      </c>
      <c r="F32" s="3">
        <v>1</v>
      </c>
      <c r="G32" s="3">
        <v>2</v>
      </c>
      <c r="H32" s="3">
        <v>2</v>
      </c>
      <c r="I32" s="3">
        <v>1</v>
      </c>
      <c r="J32" s="4">
        <f t="shared" si="0"/>
        <v>10</v>
      </c>
    </row>
    <row r="33" spans="1:10" x14ac:dyDescent="0.2">
      <c r="A33" s="3">
        <v>32</v>
      </c>
      <c r="B33" s="3">
        <v>2</v>
      </c>
      <c r="C33" s="3">
        <v>2</v>
      </c>
      <c r="D33" s="3">
        <v>4</v>
      </c>
      <c r="E33" s="3">
        <v>1</v>
      </c>
      <c r="F33" s="3">
        <v>1</v>
      </c>
      <c r="G33" s="3">
        <v>3</v>
      </c>
      <c r="H33" s="3">
        <v>1</v>
      </c>
      <c r="I33" s="3">
        <v>1</v>
      </c>
      <c r="J33" s="4">
        <f t="shared" si="0"/>
        <v>15</v>
      </c>
    </row>
    <row r="34" spans="1:10" x14ac:dyDescent="0.2">
      <c r="A34" s="3">
        <v>33</v>
      </c>
      <c r="B34" s="3">
        <v>3</v>
      </c>
      <c r="C34" s="3">
        <v>2</v>
      </c>
      <c r="D34" s="3">
        <v>3</v>
      </c>
      <c r="E34" s="3">
        <v>3</v>
      </c>
      <c r="F34" s="3">
        <v>4</v>
      </c>
      <c r="G34" s="3">
        <v>3</v>
      </c>
      <c r="H34" s="3">
        <v>3</v>
      </c>
      <c r="I34" s="3">
        <v>3</v>
      </c>
      <c r="J34" s="4">
        <f t="shared" si="0"/>
        <v>24</v>
      </c>
    </row>
    <row r="35" spans="1:10" x14ac:dyDescent="0.2">
      <c r="A35" s="3">
        <v>34</v>
      </c>
      <c r="B35" s="3">
        <v>4</v>
      </c>
      <c r="C35" s="3">
        <v>4</v>
      </c>
      <c r="D35" s="3">
        <v>4</v>
      </c>
      <c r="E35" s="3">
        <v>4</v>
      </c>
      <c r="F35" s="3">
        <v>4</v>
      </c>
      <c r="G35" s="3">
        <v>4</v>
      </c>
      <c r="H35" s="3">
        <v>4</v>
      </c>
      <c r="I35" s="3">
        <v>4</v>
      </c>
      <c r="J35" s="4">
        <f t="shared" si="0"/>
        <v>32</v>
      </c>
    </row>
    <row r="36" spans="1:10" x14ac:dyDescent="0.2">
      <c r="A36" s="3">
        <v>35</v>
      </c>
      <c r="B36" s="3">
        <v>4</v>
      </c>
      <c r="C36" s="3">
        <v>4</v>
      </c>
      <c r="D36" s="3">
        <v>4</v>
      </c>
      <c r="E36" s="3">
        <v>4</v>
      </c>
      <c r="F36" s="3">
        <v>4</v>
      </c>
      <c r="G36" s="3">
        <v>4</v>
      </c>
      <c r="H36" s="3">
        <v>4</v>
      </c>
      <c r="I36" s="3">
        <v>4</v>
      </c>
      <c r="J36" s="4">
        <f t="shared" si="0"/>
        <v>32</v>
      </c>
    </row>
    <row r="37" spans="1:10" x14ac:dyDescent="0.2">
      <c r="A37" s="3">
        <v>36</v>
      </c>
      <c r="B37" s="3">
        <v>3</v>
      </c>
      <c r="C37" s="3">
        <v>3</v>
      </c>
      <c r="D37" s="3">
        <v>4</v>
      </c>
      <c r="E37" s="3">
        <v>3</v>
      </c>
      <c r="F37" s="3">
        <v>3</v>
      </c>
      <c r="G37" s="3">
        <v>3</v>
      </c>
      <c r="H37" s="3">
        <v>4</v>
      </c>
      <c r="I37" s="3">
        <v>4</v>
      </c>
      <c r="J37" s="4">
        <f t="shared" si="0"/>
        <v>27</v>
      </c>
    </row>
    <row r="38" spans="1:10" x14ac:dyDescent="0.2">
      <c r="A38" s="3">
        <v>37</v>
      </c>
      <c r="B38" s="3">
        <v>4</v>
      </c>
      <c r="C38" s="3">
        <v>4</v>
      </c>
      <c r="D38" s="3">
        <v>4</v>
      </c>
      <c r="E38" s="3">
        <v>3</v>
      </c>
      <c r="F38" s="3">
        <v>4</v>
      </c>
      <c r="G38" s="3">
        <v>3</v>
      </c>
      <c r="H38" s="3">
        <v>4</v>
      </c>
      <c r="I38" s="3">
        <v>2</v>
      </c>
      <c r="J38" s="4">
        <f t="shared" si="0"/>
        <v>28</v>
      </c>
    </row>
    <row r="39" spans="1:10" x14ac:dyDescent="0.2">
      <c r="A39" s="3">
        <v>38</v>
      </c>
      <c r="B39" s="3">
        <v>2</v>
      </c>
      <c r="C39" s="3">
        <v>3</v>
      </c>
      <c r="D39" s="3">
        <v>2</v>
      </c>
      <c r="E39" s="3">
        <v>3</v>
      </c>
      <c r="F39" s="3">
        <v>2</v>
      </c>
      <c r="G39" s="3">
        <v>4</v>
      </c>
      <c r="H39" s="3">
        <v>3</v>
      </c>
      <c r="I39" s="3">
        <v>3</v>
      </c>
      <c r="J39" s="4">
        <f t="shared" si="0"/>
        <v>22</v>
      </c>
    </row>
    <row r="40" spans="1:10" x14ac:dyDescent="0.2">
      <c r="A40" s="3">
        <v>39</v>
      </c>
      <c r="B40" s="3">
        <v>3</v>
      </c>
      <c r="C40" s="3">
        <v>3</v>
      </c>
      <c r="D40" s="3">
        <v>4</v>
      </c>
      <c r="E40" s="3">
        <v>3</v>
      </c>
      <c r="F40" s="3">
        <v>3</v>
      </c>
      <c r="G40" s="3">
        <v>3</v>
      </c>
      <c r="H40" s="3">
        <v>4</v>
      </c>
      <c r="I40" s="3">
        <v>3</v>
      </c>
      <c r="J40" s="4">
        <f t="shared" si="0"/>
        <v>26</v>
      </c>
    </row>
    <row r="41" spans="1:10" x14ac:dyDescent="0.2">
      <c r="A41" s="3">
        <v>40</v>
      </c>
      <c r="B41" s="3">
        <v>2</v>
      </c>
      <c r="C41" s="3">
        <v>2</v>
      </c>
      <c r="D41" s="3">
        <v>2</v>
      </c>
      <c r="E41" s="3">
        <v>2</v>
      </c>
      <c r="F41" s="3">
        <v>3</v>
      </c>
      <c r="G41" s="3">
        <v>3</v>
      </c>
      <c r="H41" s="3">
        <v>4</v>
      </c>
      <c r="I41" s="3">
        <v>3</v>
      </c>
      <c r="J41" s="4">
        <f t="shared" si="0"/>
        <v>21</v>
      </c>
    </row>
    <row r="42" spans="1:10" x14ac:dyDescent="0.2">
      <c r="A42" s="3">
        <v>41</v>
      </c>
      <c r="B42" s="3">
        <v>4</v>
      </c>
      <c r="C42" s="3">
        <v>4</v>
      </c>
      <c r="D42" s="3">
        <v>4</v>
      </c>
      <c r="E42" s="3">
        <v>4</v>
      </c>
      <c r="F42" s="3">
        <v>4</v>
      </c>
      <c r="G42" s="3">
        <v>3</v>
      </c>
      <c r="H42" s="3">
        <v>4</v>
      </c>
      <c r="I42" s="3">
        <v>4</v>
      </c>
      <c r="J42" s="4">
        <f t="shared" si="0"/>
        <v>31</v>
      </c>
    </row>
    <row r="43" spans="1:10" x14ac:dyDescent="0.2">
      <c r="A43" s="3">
        <v>42</v>
      </c>
      <c r="B43" s="3">
        <v>3</v>
      </c>
      <c r="C43" s="3">
        <v>3</v>
      </c>
      <c r="D43" s="3">
        <v>3</v>
      </c>
      <c r="E43" s="3">
        <v>3</v>
      </c>
      <c r="F43" s="3">
        <v>3</v>
      </c>
      <c r="G43" s="3">
        <v>3</v>
      </c>
      <c r="H43" s="3">
        <v>3</v>
      </c>
      <c r="I43" s="3">
        <v>3</v>
      </c>
      <c r="J43" s="4">
        <f t="shared" si="0"/>
        <v>24</v>
      </c>
    </row>
    <row r="44" spans="1:10" x14ac:dyDescent="0.2">
      <c r="A44" s="3">
        <v>43</v>
      </c>
      <c r="B44" s="3">
        <v>4</v>
      </c>
      <c r="C44" s="3">
        <v>4</v>
      </c>
      <c r="D44" s="3">
        <v>4</v>
      </c>
      <c r="E44" s="3">
        <v>3</v>
      </c>
      <c r="F44" s="3">
        <v>4</v>
      </c>
      <c r="G44" s="3">
        <v>4</v>
      </c>
      <c r="H44" s="3">
        <v>4</v>
      </c>
      <c r="I44" s="3">
        <v>4</v>
      </c>
      <c r="J44" s="4">
        <f t="shared" si="0"/>
        <v>31</v>
      </c>
    </row>
    <row r="45" spans="1:10" x14ac:dyDescent="0.2">
      <c r="A45" s="3">
        <v>44</v>
      </c>
      <c r="B45" s="3">
        <v>3</v>
      </c>
      <c r="C45" s="3">
        <v>3</v>
      </c>
      <c r="D45" s="3">
        <v>4</v>
      </c>
      <c r="E45" s="3">
        <v>3</v>
      </c>
      <c r="F45" s="3">
        <v>4</v>
      </c>
      <c r="G45" s="3">
        <v>3</v>
      </c>
      <c r="H45" s="3">
        <v>4</v>
      </c>
      <c r="I45" s="3">
        <v>4</v>
      </c>
      <c r="J45" s="4">
        <f t="shared" si="0"/>
        <v>28</v>
      </c>
    </row>
    <row r="46" spans="1:10" x14ac:dyDescent="0.2">
      <c r="A46" s="3">
        <v>45</v>
      </c>
      <c r="B46" s="3">
        <v>3</v>
      </c>
      <c r="C46" s="3">
        <v>2</v>
      </c>
      <c r="D46" s="3">
        <v>4</v>
      </c>
      <c r="E46" s="3">
        <v>3</v>
      </c>
      <c r="F46" s="3">
        <v>3</v>
      </c>
      <c r="G46" s="3">
        <v>3</v>
      </c>
      <c r="H46" s="3">
        <v>4</v>
      </c>
      <c r="I46" s="3">
        <v>4</v>
      </c>
      <c r="J46" s="4">
        <f t="shared" si="0"/>
        <v>26</v>
      </c>
    </row>
    <row r="47" spans="1:10" x14ac:dyDescent="0.2">
      <c r="A47" s="3">
        <v>46</v>
      </c>
      <c r="B47" s="3">
        <v>2</v>
      </c>
      <c r="C47" s="3">
        <v>1</v>
      </c>
      <c r="D47" s="3">
        <v>2</v>
      </c>
      <c r="E47" s="3">
        <v>2</v>
      </c>
      <c r="F47" s="3">
        <v>2</v>
      </c>
      <c r="G47" s="3">
        <v>2</v>
      </c>
      <c r="H47" s="3">
        <v>2</v>
      </c>
      <c r="I47" s="3">
        <v>2</v>
      </c>
      <c r="J47" s="4">
        <f t="shared" si="0"/>
        <v>15</v>
      </c>
    </row>
    <row r="48" spans="1:10" x14ac:dyDescent="0.2">
      <c r="A48" s="3">
        <v>47</v>
      </c>
      <c r="B48" s="3">
        <v>4</v>
      </c>
      <c r="C48" s="3">
        <v>4</v>
      </c>
      <c r="D48" s="3">
        <v>4</v>
      </c>
      <c r="E48" s="3">
        <v>4</v>
      </c>
      <c r="F48" s="3">
        <v>4</v>
      </c>
      <c r="G48" s="3">
        <v>4</v>
      </c>
      <c r="H48" s="3">
        <v>4</v>
      </c>
      <c r="I48" s="3">
        <v>4</v>
      </c>
      <c r="J48" s="4">
        <f t="shared" si="0"/>
        <v>32</v>
      </c>
    </row>
    <row r="49" spans="1:10" x14ac:dyDescent="0.2">
      <c r="A49" s="8" t="s">
        <v>5</v>
      </c>
      <c r="B49" s="8">
        <f t="shared" ref="B49:J49" si="1">SUM(B2:B48)</f>
        <v>129</v>
      </c>
      <c r="C49" s="8">
        <f t="shared" si="1"/>
        <v>130</v>
      </c>
      <c r="D49" s="8">
        <f t="shared" si="1"/>
        <v>143</v>
      </c>
      <c r="E49" s="8">
        <f t="shared" si="1"/>
        <v>125</v>
      </c>
      <c r="F49" s="8">
        <f t="shared" si="1"/>
        <v>135</v>
      </c>
      <c r="G49" s="8">
        <f t="shared" si="1"/>
        <v>135</v>
      </c>
      <c r="H49" s="8">
        <f t="shared" si="1"/>
        <v>148</v>
      </c>
      <c r="I49" s="8">
        <f t="shared" si="1"/>
        <v>142</v>
      </c>
      <c r="J49" s="9">
        <f t="shared" si="1"/>
        <v>1087</v>
      </c>
    </row>
    <row r="51" spans="1:10" x14ac:dyDescent="0.2">
      <c r="A51" s="10" t="s">
        <v>129</v>
      </c>
      <c r="B51" s="11"/>
      <c r="C51" s="11"/>
      <c r="D51" s="11"/>
      <c r="E51" s="11"/>
      <c r="F51" s="11"/>
      <c r="G51" s="11"/>
      <c r="H51" s="11"/>
      <c r="I51" s="11"/>
    </row>
    <row r="52" spans="1:10" x14ac:dyDescent="0.2">
      <c r="A52" s="17" t="s">
        <v>131</v>
      </c>
      <c r="B52" s="18">
        <v>0.28399999999999997</v>
      </c>
      <c r="C52" s="18">
        <v>0.28399999999999997</v>
      </c>
      <c r="D52" s="18">
        <v>0.28399999999999997</v>
      </c>
      <c r="E52" s="18">
        <v>0.28399999999999997</v>
      </c>
      <c r="F52" s="18">
        <v>0.28399999999999997</v>
      </c>
      <c r="G52" s="18">
        <v>0.28399999999999997</v>
      </c>
      <c r="H52" s="18">
        <v>0.28399999999999997</v>
      </c>
      <c r="I52" s="18">
        <v>0.28399999999999997</v>
      </c>
    </row>
    <row r="53" spans="1:10" x14ac:dyDescent="0.2">
      <c r="A53" s="17" t="s">
        <v>134</v>
      </c>
      <c r="B53" s="18">
        <f t="shared" ref="B53:I53" si="2">CORREL(B2:B48,$J$2:$J$48)</f>
        <v>0.89624725810646244</v>
      </c>
      <c r="C53" s="18">
        <f t="shared" si="2"/>
        <v>0.85519924687012594</v>
      </c>
      <c r="D53" s="18">
        <f t="shared" si="2"/>
        <v>0.84222165082716116</v>
      </c>
      <c r="E53" s="18">
        <f t="shared" si="2"/>
        <v>0.89867818147036227</v>
      </c>
      <c r="F53" s="18">
        <f t="shared" si="2"/>
        <v>0.88303346753586187</v>
      </c>
      <c r="G53" s="18">
        <f t="shared" si="2"/>
        <v>0.80024495172537213</v>
      </c>
      <c r="H53" s="18">
        <f t="shared" si="2"/>
        <v>0.81271680962329618</v>
      </c>
      <c r="I53" s="18">
        <f t="shared" si="2"/>
        <v>0.81818387138956039</v>
      </c>
    </row>
    <row r="54" spans="1:10" x14ac:dyDescent="0.2">
      <c r="A54" s="17" t="s">
        <v>138</v>
      </c>
      <c r="B54" s="19" t="str">
        <f t="shared" ref="B54:I54" si="3">IF(B53&gt;B52,"Valid","Tidak Valid")</f>
        <v>Valid</v>
      </c>
      <c r="C54" s="19" t="str">
        <f t="shared" si="3"/>
        <v>Valid</v>
      </c>
      <c r="D54" s="19" t="str">
        <f t="shared" si="3"/>
        <v>Valid</v>
      </c>
      <c r="E54" s="19" t="str">
        <f t="shared" si="3"/>
        <v>Valid</v>
      </c>
      <c r="F54" s="19" t="str">
        <f t="shared" si="3"/>
        <v>Valid</v>
      </c>
      <c r="G54" s="19" t="str">
        <f t="shared" si="3"/>
        <v>Valid</v>
      </c>
      <c r="H54" s="19" t="str">
        <f t="shared" si="3"/>
        <v>Valid</v>
      </c>
      <c r="I54" s="19" t="str">
        <f t="shared" si="3"/>
        <v>Valid</v>
      </c>
    </row>
    <row r="55" spans="1:10" x14ac:dyDescent="0.2">
      <c r="A55" s="20"/>
      <c r="B55" s="20"/>
      <c r="C55" s="20"/>
      <c r="D55" s="20"/>
      <c r="E55" s="20"/>
      <c r="F55" s="20"/>
      <c r="G55" s="20"/>
      <c r="H55" s="20"/>
      <c r="I55" s="20"/>
    </row>
    <row r="56" spans="1:10" x14ac:dyDescent="0.2">
      <c r="A56" s="20"/>
      <c r="B56" s="20"/>
      <c r="C56" s="20"/>
      <c r="D56" s="20"/>
      <c r="E56" s="20"/>
      <c r="F56" s="20"/>
      <c r="G56" s="20"/>
      <c r="H56" s="20"/>
      <c r="I56" s="20"/>
    </row>
    <row r="57" spans="1:10" x14ac:dyDescent="0.2">
      <c r="A57" s="21" t="s">
        <v>140</v>
      </c>
      <c r="B57" s="20"/>
      <c r="C57" s="20"/>
      <c r="D57" s="20"/>
      <c r="E57" s="20"/>
      <c r="F57" s="20"/>
      <c r="G57" s="20"/>
      <c r="H57" s="20"/>
      <c r="I57" s="20"/>
    </row>
    <row r="58" spans="1:10" x14ac:dyDescent="0.2">
      <c r="A58" s="17" t="s">
        <v>141</v>
      </c>
      <c r="B58" s="18">
        <f t="shared" ref="B58:I58" si="4">VAR(B2:B48)</f>
        <v>0.93339500462534664</v>
      </c>
      <c r="C58" s="18">
        <f t="shared" si="4"/>
        <v>0.96577243293246984</v>
      </c>
      <c r="D58" s="18">
        <f t="shared" si="4"/>
        <v>1.1285846438482887</v>
      </c>
      <c r="E58" s="18">
        <f t="shared" si="4"/>
        <v>0.9250693802035157</v>
      </c>
      <c r="F58" s="18">
        <f t="shared" si="4"/>
        <v>1.0268270120259022</v>
      </c>
      <c r="G58" s="18">
        <f t="shared" si="4"/>
        <v>0.93987049028677172</v>
      </c>
      <c r="H58" s="18">
        <f t="shared" si="4"/>
        <v>1.1729879740980567</v>
      </c>
      <c r="I58" s="18">
        <f t="shared" si="4"/>
        <v>1.2821461609620726</v>
      </c>
    </row>
    <row r="59" spans="1:10" x14ac:dyDescent="0.2">
      <c r="A59" s="17" t="s">
        <v>142</v>
      </c>
      <c r="B59" s="18">
        <f>SUM(B58:I58)</f>
        <v>8.3746530989824244</v>
      </c>
      <c r="C59" s="17"/>
      <c r="D59" s="17"/>
      <c r="E59" s="17"/>
      <c r="F59" s="17"/>
      <c r="G59" s="17"/>
      <c r="H59" s="17"/>
      <c r="I59" s="17"/>
    </row>
    <row r="60" spans="1:10" x14ac:dyDescent="0.2">
      <c r="A60" s="17" t="s">
        <v>143</v>
      </c>
      <c r="B60" s="18">
        <f>VAR(J15:J48)</f>
        <v>53.255793226381435</v>
      </c>
      <c r="C60" s="17"/>
      <c r="D60" s="17"/>
      <c r="E60" s="17"/>
      <c r="F60" s="17"/>
      <c r="G60" s="17"/>
      <c r="H60" s="17"/>
      <c r="I60" s="17"/>
    </row>
    <row r="61" spans="1:10" x14ac:dyDescent="0.2">
      <c r="A61" s="17" t="s">
        <v>138</v>
      </c>
      <c r="B61" s="18">
        <f>(8/7)*(1-B59/B60)</f>
        <v>0.96313900266462094</v>
      </c>
      <c r="C61" s="29" t="str">
        <f>IF(B61&lt;0.6,"Tidak Reliabel","Reliabel")</f>
        <v>Reliabel</v>
      </c>
      <c r="D61" s="27"/>
      <c r="E61" s="27"/>
      <c r="F61" s="27"/>
      <c r="G61" s="27"/>
      <c r="H61" s="27"/>
      <c r="I61" s="28"/>
    </row>
  </sheetData>
  <mergeCells count="1">
    <mergeCell ref="C61:I6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64"/>
  <sheetViews>
    <sheetView workbookViewId="0"/>
  </sheetViews>
  <sheetFormatPr defaultColWidth="12.5703125" defaultRowHeight="15.75" customHeight="1" x14ac:dyDescent="0.2"/>
  <cols>
    <col min="9" max="9" width="88.140625" customWidth="1"/>
  </cols>
  <sheetData>
    <row r="1" spans="1:9" x14ac:dyDescent="0.2">
      <c r="A1" s="1" t="s">
        <v>0</v>
      </c>
      <c r="B1" s="1" t="s">
        <v>1</v>
      </c>
      <c r="C1" s="1" t="s">
        <v>2</v>
      </c>
      <c r="D1" s="1" t="s">
        <v>3</v>
      </c>
      <c r="E1" s="1" t="s">
        <v>4</v>
      </c>
      <c r="F1" s="2" t="s">
        <v>5</v>
      </c>
    </row>
    <row r="2" spans="1:9" x14ac:dyDescent="0.2">
      <c r="A2" s="3">
        <v>1</v>
      </c>
      <c r="B2" s="3">
        <v>4</v>
      </c>
      <c r="C2" s="3">
        <v>4</v>
      </c>
      <c r="D2" s="3">
        <v>4</v>
      </c>
      <c r="E2" s="3">
        <v>4</v>
      </c>
      <c r="F2" s="4">
        <f t="shared" ref="F2:F51" si="0">SUM(B2:E2)</f>
        <v>16</v>
      </c>
      <c r="H2" s="5" t="s">
        <v>1</v>
      </c>
      <c r="I2" s="5" t="s">
        <v>14</v>
      </c>
    </row>
    <row r="3" spans="1:9" x14ac:dyDescent="0.2">
      <c r="A3" s="3">
        <v>2</v>
      </c>
      <c r="B3" s="3">
        <v>4</v>
      </c>
      <c r="C3" s="3">
        <v>4</v>
      </c>
      <c r="D3" s="3">
        <v>4</v>
      </c>
      <c r="E3" s="3">
        <v>4</v>
      </c>
      <c r="F3" s="4">
        <f t="shared" si="0"/>
        <v>16</v>
      </c>
      <c r="H3" s="5" t="s">
        <v>2</v>
      </c>
      <c r="I3" s="5" t="s">
        <v>20</v>
      </c>
    </row>
    <row r="4" spans="1:9" x14ac:dyDescent="0.2">
      <c r="A4" s="3">
        <v>3</v>
      </c>
      <c r="B4" s="3">
        <v>4</v>
      </c>
      <c r="C4" s="3">
        <v>4</v>
      </c>
      <c r="D4" s="3">
        <v>4</v>
      </c>
      <c r="E4" s="3">
        <v>4</v>
      </c>
      <c r="F4" s="4">
        <f t="shared" si="0"/>
        <v>16</v>
      </c>
      <c r="H4" s="5" t="s">
        <v>3</v>
      </c>
      <c r="I4" s="5" t="s">
        <v>29</v>
      </c>
    </row>
    <row r="5" spans="1:9" x14ac:dyDescent="0.2">
      <c r="A5" s="3">
        <v>4</v>
      </c>
      <c r="B5" s="3">
        <v>4</v>
      </c>
      <c r="C5" s="3">
        <v>4</v>
      </c>
      <c r="D5" s="3">
        <v>4</v>
      </c>
      <c r="E5" s="3">
        <v>3</v>
      </c>
      <c r="F5" s="4">
        <f t="shared" si="0"/>
        <v>15</v>
      </c>
      <c r="H5" s="5" t="s">
        <v>4</v>
      </c>
      <c r="I5" s="5" t="s">
        <v>37</v>
      </c>
    </row>
    <row r="6" spans="1:9" x14ac:dyDescent="0.2">
      <c r="A6" s="3">
        <v>5</v>
      </c>
      <c r="B6" s="3">
        <v>4</v>
      </c>
      <c r="C6" s="3">
        <v>4</v>
      </c>
      <c r="D6" s="3">
        <v>4</v>
      </c>
      <c r="E6" s="3">
        <v>4</v>
      </c>
      <c r="F6" s="4">
        <f t="shared" si="0"/>
        <v>16</v>
      </c>
      <c r="H6" s="7"/>
      <c r="I6" s="7"/>
    </row>
    <row r="7" spans="1:9" x14ac:dyDescent="0.2">
      <c r="A7" s="3">
        <v>6</v>
      </c>
      <c r="B7" s="3">
        <v>4</v>
      </c>
      <c r="C7" s="3">
        <v>4</v>
      </c>
      <c r="D7" s="3">
        <v>4</v>
      </c>
      <c r="E7" s="3">
        <v>4</v>
      </c>
      <c r="F7" s="4">
        <f t="shared" si="0"/>
        <v>16</v>
      </c>
    </row>
    <row r="8" spans="1:9" x14ac:dyDescent="0.2">
      <c r="A8" s="3">
        <v>7</v>
      </c>
      <c r="B8" s="3">
        <v>4</v>
      </c>
      <c r="C8" s="3">
        <v>4</v>
      </c>
      <c r="D8" s="3">
        <v>4</v>
      </c>
      <c r="E8" s="3">
        <v>4</v>
      </c>
      <c r="F8" s="4">
        <f t="shared" si="0"/>
        <v>16</v>
      </c>
    </row>
    <row r="9" spans="1:9" x14ac:dyDescent="0.2">
      <c r="A9" s="3">
        <v>8</v>
      </c>
      <c r="B9" s="3">
        <v>4</v>
      </c>
      <c r="C9" s="3">
        <v>3</v>
      </c>
      <c r="D9" s="3">
        <v>4</v>
      </c>
      <c r="E9" s="3">
        <v>3</v>
      </c>
      <c r="F9" s="4">
        <f t="shared" si="0"/>
        <v>14</v>
      </c>
    </row>
    <row r="10" spans="1:9" x14ac:dyDescent="0.2">
      <c r="A10" s="3">
        <v>9</v>
      </c>
      <c r="B10" s="3">
        <v>4</v>
      </c>
      <c r="C10" s="3">
        <v>3</v>
      </c>
      <c r="D10" s="3">
        <v>3</v>
      </c>
      <c r="E10" s="3">
        <v>3</v>
      </c>
      <c r="F10" s="4">
        <f t="shared" si="0"/>
        <v>13</v>
      </c>
    </row>
    <row r="11" spans="1:9" x14ac:dyDescent="0.2">
      <c r="A11" s="3">
        <v>10</v>
      </c>
      <c r="B11" s="3">
        <v>4</v>
      </c>
      <c r="C11" s="3">
        <v>4</v>
      </c>
      <c r="D11" s="3">
        <v>4</v>
      </c>
      <c r="E11" s="3">
        <v>4</v>
      </c>
      <c r="F11" s="4">
        <f t="shared" si="0"/>
        <v>16</v>
      </c>
    </row>
    <row r="12" spans="1:9" x14ac:dyDescent="0.2">
      <c r="A12" s="3">
        <v>11</v>
      </c>
      <c r="B12" s="3">
        <v>3</v>
      </c>
      <c r="C12" s="3">
        <v>3</v>
      </c>
      <c r="D12" s="3">
        <v>3</v>
      </c>
      <c r="E12" s="3">
        <v>3</v>
      </c>
      <c r="F12" s="4">
        <f t="shared" si="0"/>
        <v>12</v>
      </c>
    </row>
    <row r="13" spans="1:9" x14ac:dyDescent="0.2">
      <c r="A13" s="3">
        <v>12</v>
      </c>
      <c r="B13" s="3">
        <v>3</v>
      </c>
      <c r="C13" s="3">
        <v>3</v>
      </c>
      <c r="D13" s="3">
        <v>3</v>
      </c>
      <c r="E13" s="3">
        <v>3</v>
      </c>
      <c r="F13" s="4">
        <f t="shared" si="0"/>
        <v>12</v>
      </c>
    </row>
    <row r="14" spans="1:9" x14ac:dyDescent="0.2">
      <c r="A14" s="3">
        <v>13</v>
      </c>
      <c r="B14" s="3">
        <v>4</v>
      </c>
      <c r="C14" s="3">
        <v>4</v>
      </c>
      <c r="D14" s="3">
        <v>4</v>
      </c>
      <c r="E14" s="3">
        <v>4</v>
      </c>
      <c r="F14" s="4">
        <f t="shared" si="0"/>
        <v>16</v>
      </c>
    </row>
    <row r="15" spans="1:9" x14ac:dyDescent="0.2">
      <c r="A15" s="3">
        <v>14</v>
      </c>
      <c r="B15" s="3">
        <v>4</v>
      </c>
      <c r="C15" s="3">
        <v>4</v>
      </c>
      <c r="D15" s="3">
        <v>4</v>
      </c>
      <c r="E15" s="3">
        <v>3</v>
      </c>
      <c r="F15" s="4">
        <f t="shared" si="0"/>
        <v>15</v>
      </c>
    </row>
    <row r="16" spans="1:9" x14ac:dyDescent="0.2">
      <c r="A16" s="3">
        <v>15</v>
      </c>
      <c r="B16" s="3">
        <v>2</v>
      </c>
      <c r="C16" s="3">
        <v>2</v>
      </c>
      <c r="D16" s="3">
        <v>2</v>
      </c>
      <c r="E16" s="3">
        <v>4</v>
      </c>
      <c r="F16" s="4">
        <f t="shared" si="0"/>
        <v>10</v>
      </c>
    </row>
    <row r="17" spans="1:6" x14ac:dyDescent="0.2">
      <c r="A17" s="3">
        <v>16</v>
      </c>
      <c r="B17" s="3">
        <v>4</v>
      </c>
      <c r="C17" s="3">
        <v>4</v>
      </c>
      <c r="D17" s="3">
        <v>4</v>
      </c>
      <c r="E17" s="3">
        <v>4</v>
      </c>
      <c r="F17" s="4">
        <f t="shared" si="0"/>
        <v>16</v>
      </c>
    </row>
    <row r="18" spans="1:6" x14ac:dyDescent="0.2">
      <c r="A18" s="3">
        <v>17</v>
      </c>
      <c r="B18" s="3">
        <v>4</v>
      </c>
      <c r="C18" s="3">
        <v>4</v>
      </c>
      <c r="D18" s="3">
        <v>4</v>
      </c>
      <c r="E18" s="3">
        <v>4</v>
      </c>
      <c r="F18" s="4">
        <f t="shared" si="0"/>
        <v>16</v>
      </c>
    </row>
    <row r="19" spans="1:6" x14ac:dyDescent="0.2">
      <c r="A19" s="3">
        <v>18</v>
      </c>
      <c r="B19" s="3">
        <v>2</v>
      </c>
      <c r="C19" s="3">
        <v>3</v>
      </c>
      <c r="D19" s="3">
        <v>3</v>
      </c>
      <c r="E19" s="3">
        <v>3</v>
      </c>
      <c r="F19" s="4">
        <f t="shared" si="0"/>
        <v>11</v>
      </c>
    </row>
    <row r="20" spans="1:6" x14ac:dyDescent="0.2">
      <c r="A20" s="3">
        <v>19</v>
      </c>
      <c r="B20" s="3">
        <v>3</v>
      </c>
      <c r="C20" s="3">
        <v>3</v>
      </c>
      <c r="D20" s="3">
        <v>3</v>
      </c>
      <c r="E20" s="3">
        <v>3</v>
      </c>
      <c r="F20" s="4">
        <f t="shared" si="0"/>
        <v>12</v>
      </c>
    </row>
    <row r="21" spans="1:6" x14ac:dyDescent="0.2">
      <c r="A21" s="3">
        <v>20</v>
      </c>
      <c r="B21" s="3">
        <v>3</v>
      </c>
      <c r="C21" s="3">
        <v>2</v>
      </c>
      <c r="D21" s="3">
        <v>3</v>
      </c>
      <c r="E21" s="3">
        <v>2</v>
      </c>
      <c r="F21" s="4">
        <f t="shared" si="0"/>
        <v>10</v>
      </c>
    </row>
    <row r="22" spans="1:6" x14ac:dyDescent="0.2">
      <c r="A22" s="3">
        <v>21</v>
      </c>
      <c r="B22" s="3">
        <v>4</v>
      </c>
      <c r="C22" s="3">
        <v>4</v>
      </c>
      <c r="D22" s="3">
        <v>3</v>
      </c>
      <c r="E22" s="3">
        <v>4</v>
      </c>
      <c r="F22" s="4">
        <f t="shared" si="0"/>
        <v>15</v>
      </c>
    </row>
    <row r="23" spans="1:6" x14ac:dyDescent="0.2">
      <c r="A23" s="3">
        <v>22</v>
      </c>
      <c r="B23" s="3">
        <v>4</v>
      </c>
      <c r="C23" s="3">
        <v>4</v>
      </c>
      <c r="D23" s="3">
        <v>4</v>
      </c>
      <c r="E23" s="3">
        <v>4</v>
      </c>
      <c r="F23" s="4">
        <f t="shared" si="0"/>
        <v>16</v>
      </c>
    </row>
    <row r="24" spans="1:6" x14ac:dyDescent="0.2">
      <c r="A24" s="3">
        <v>23</v>
      </c>
      <c r="B24" s="3">
        <v>4</v>
      </c>
      <c r="C24" s="3">
        <v>3</v>
      </c>
      <c r="D24" s="3">
        <v>4</v>
      </c>
      <c r="E24" s="3">
        <v>4</v>
      </c>
      <c r="F24" s="4">
        <f t="shared" si="0"/>
        <v>15</v>
      </c>
    </row>
    <row r="25" spans="1:6" x14ac:dyDescent="0.2">
      <c r="A25" s="3">
        <v>24</v>
      </c>
      <c r="B25" s="3">
        <v>1</v>
      </c>
      <c r="C25" s="3">
        <v>4</v>
      </c>
      <c r="D25" s="3">
        <v>4</v>
      </c>
      <c r="E25" s="3">
        <v>4</v>
      </c>
      <c r="F25" s="4">
        <f t="shared" si="0"/>
        <v>13</v>
      </c>
    </row>
    <row r="26" spans="1:6" x14ac:dyDescent="0.2">
      <c r="A26" s="3">
        <v>25</v>
      </c>
      <c r="B26" s="3">
        <v>4</v>
      </c>
      <c r="C26" s="3">
        <v>4</v>
      </c>
      <c r="D26" s="3">
        <v>4</v>
      </c>
      <c r="E26" s="3">
        <v>4</v>
      </c>
      <c r="F26" s="4">
        <f t="shared" si="0"/>
        <v>16</v>
      </c>
    </row>
    <row r="27" spans="1:6" x14ac:dyDescent="0.2">
      <c r="A27" s="3">
        <v>26</v>
      </c>
      <c r="B27" s="3">
        <v>3</v>
      </c>
      <c r="C27" s="3">
        <v>3</v>
      </c>
      <c r="D27" s="3">
        <v>3</v>
      </c>
      <c r="E27" s="3">
        <v>3</v>
      </c>
      <c r="F27" s="4">
        <f t="shared" si="0"/>
        <v>12</v>
      </c>
    </row>
    <row r="28" spans="1:6" x14ac:dyDescent="0.2">
      <c r="A28" s="3">
        <v>27</v>
      </c>
      <c r="B28" s="3">
        <v>4</v>
      </c>
      <c r="C28" s="3">
        <v>4</v>
      </c>
      <c r="D28" s="3">
        <v>4</v>
      </c>
      <c r="E28" s="3">
        <v>4</v>
      </c>
      <c r="F28" s="4">
        <f t="shared" si="0"/>
        <v>16</v>
      </c>
    </row>
    <row r="29" spans="1:6" x14ac:dyDescent="0.2">
      <c r="A29" s="3">
        <v>28</v>
      </c>
      <c r="B29" s="3">
        <v>4</v>
      </c>
      <c r="C29" s="3">
        <v>4</v>
      </c>
      <c r="D29" s="3">
        <v>3</v>
      </c>
      <c r="E29" s="3">
        <v>4</v>
      </c>
      <c r="F29" s="4">
        <f t="shared" si="0"/>
        <v>15</v>
      </c>
    </row>
    <row r="30" spans="1:6" x14ac:dyDescent="0.2">
      <c r="A30" s="3">
        <v>29</v>
      </c>
      <c r="B30" s="3">
        <v>4</v>
      </c>
      <c r="C30" s="3">
        <v>4</v>
      </c>
      <c r="D30" s="3">
        <v>4</v>
      </c>
      <c r="E30" s="3">
        <v>4</v>
      </c>
      <c r="F30" s="4">
        <f t="shared" si="0"/>
        <v>16</v>
      </c>
    </row>
    <row r="31" spans="1:6" x14ac:dyDescent="0.2">
      <c r="A31" s="3">
        <v>30</v>
      </c>
      <c r="B31" s="3">
        <v>2</v>
      </c>
      <c r="C31" s="3">
        <v>2</v>
      </c>
      <c r="D31" s="3">
        <v>2</v>
      </c>
      <c r="E31" s="3">
        <v>2</v>
      </c>
      <c r="F31" s="4">
        <f t="shared" si="0"/>
        <v>8</v>
      </c>
    </row>
    <row r="32" spans="1:6" x14ac:dyDescent="0.2">
      <c r="A32" s="3">
        <v>31</v>
      </c>
      <c r="B32" s="3">
        <v>4</v>
      </c>
      <c r="C32" s="3">
        <v>4</v>
      </c>
      <c r="D32" s="3">
        <v>4</v>
      </c>
      <c r="E32" s="3">
        <v>4</v>
      </c>
      <c r="F32" s="4">
        <f t="shared" si="0"/>
        <v>16</v>
      </c>
    </row>
    <row r="33" spans="1:6" x14ac:dyDescent="0.2">
      <c r="A33" s="3">
        <v>32</v>
      </c>
      <c r="B33" s="3">
        <v>4</v>
      </c>
      <c r="C33" s="3">
        <v>4</v>
      </c>
      <c r="D33" s="3">
        <v>4</v>
      </c>
      <c r="E33" s="3">
        <v>4</v>
      </c>
      <c r="F33" s="4">
        <f t="shared" si="0"/>
        <v>16</v>
      </c>
    </row>
    <row r="34" spans="1:6" x14ac:dyDescent="0.2">
      <c r="A34" s="3">
        <v>33</v>
      </c>
      <c r="B34" s="3">
        <v>3</v>
      </c>
      <c r="C34" s="3">
        <v>4</v>
      </c>
      <c r="D34" s="3">
        <v>4</v>
      </c>
      <c r="E34" s="3">
        <v>4</v>
      </c>
      <c r="F34" s="4">
        <f t="shared" si="0"/>
        <v>15</v>
      </c>
    </row>
    <row r="35" spans="1:6" x14ac:dyDescent="0.2">
      <c r="A35" s="3">
        <v>34</v>
      </c>
      <c r="B35" s="3">
        <v>4</v>
      </c>
      <c r="C35" s="3">
        <v>4</v>
      </c>
      <c r="D35" s="3">
        <v>4</v>
      </c>
      <c r="E35" s="3">
        <v>4</v>
      </c>
      <c r="F35" s="4">
        <f t="shared" si="0"/>
        <v>16</v>
      </c>
    </row>
    <row r="36" spans="1:6" x14ac:dyDescent="0.2">
      <c r="A36" s="3">
        <v>35</v>
      </c>
      <c r="B36" s="3">
        <v>4</v>
      </c>
      <c r="C36" s="3">
        <v>4</v>
      </c>
      <c r="D36" s="3">
        <v>4</v>
      </c>
      <c r="E36" s="3">
        <v>4</v>
      </c>
      <c r="F36" s="4">
        <f t="shared" si="0"/>
        <v>16</v>
      </c>
    </row>
    <row r="37" spans="1:6" x14ac:dyDescent="0.2">
      <c r="A37" s="3">
        <v>36</v>
      </c>
      <c r="B37" s="3">
        <v>4</v>
      </c>
      <c r="C37" s="3">
        <v>3</v>
      </c>
      <c r="D37" s="3">
        <v>3</v>
      </c>
      <c r="E37" s="3">
        <v>4</v>
      </c>
      <c r="F37" s="4">
        <f t="shared" si="0"/>
        <v>14</v>
      </c>
    </row>
    <row r="38" spans="1:6" x14ac:dyDescent="0.2">
      <c r="A38" s="3">
        <v>37</v>
      </c>
      <c r="B38" s="3">
        <v>4</v>
      </c>
      <c r="C38" s="3">
        <v>4</v>
      </c>
      <c r="D38" s="3">
        <v>4</v>
      </c>
      <c r="E38" s="3">
        <v>4</v>
      </c>
      <c r="F38" s="4">
        <f t="shared" si="0"/>
        <v>16</v>
      </c>
    </row>
    <row r="39" spans="1:6" x14ac:dyDescent="0.2">
      <c r="A39" s="3">
        <v>38</v>
      </c>
      <c r="B39" s="3">
        <v>3</v>
      </c>
      <c r="C39" s="3">
        <v>3</v>
      </c>
      <c r="D39" s="3">
        <v>3</v>
      </c>
      <c r="E39" s="3">
        <v>3</v>
      </c>
      <c r="F39" s="4">
        <f t="shared" si="0"/>
        <v>12</v>
      </c>
    </row>
    <row r="40" spans="1:6" x14ac:dyDescent="0.2">
      <c r="A40" s="3">
        <v>39</v>
      </c>
      <c r="B40" s="3">
        <v>4</v>
      </c>
      <c r="C40" s="3">
        <v>4</v>
      </c>
      <c r="D40" s="3">
        <v>4</v>
      </c>
      <c r="E40" s="3">
        <v>4</v>
      </c>
      <c r="F40" s="4">
        <f t="shared" si="0"/>
        <v>16</v>
      </c>
    </row>
    <row r="41" spans="1:6" x14ac:dyDescent="0.2">
      <c r="A41" s="3">
        <v>40</v>
      </c>
      <c r="B41" s="3">
        <v>3</v>
      </c>
      <c r="C41" s="3">
        <v>2</v>
      </c>
      <c r="D41" s="3">
        <v>3</v>
      </c>
      <c r="E41" s="3">
        <v>3</v>
      </c>
      <c r="F41" s="4">
        <f t="shared" si="0"/>
        <v>11</v>
      </c>
    </row>
    <row r="42" spans="1:6" x14ac:dyDescent="0.2">
      <c r="A42" s="3">
        <v>41</v>
      </c>
      <c r="B42" s="3">
        <v>4</v>
      </c>
      <c r="C42" s="3">
        <v>4</v>
      </c>
      <c r="D42" s="3">
        <v>4</v>
      </c>
      <c r="E42" s="3">
        <v>3</v>
      </c>
      <c r="F42" s="4">
        <f t="shared" si="0"/>
        <v>15</v>
      </c>
    </row>
    <row r="43" spans="1:6" x14ac:dyDescent="0.2">
      <c r="A43" s="3">
        <v>42</v>
      </c>
      <c r="B43" s="3">
        <v>3</v>
      </c>
      <c r="C43" s="3">
        <v>3</v>
      </c>
      <c r="D43" s="3">
        <v>3</v>
      </c>
      <c r="E43" s="3">
        <v>3</v>
      </c>
      <c r="F43" s="4">
        <f t="shared" si="0"/>
        <v>12</v>
      </c>
    </row>
    <row r="44" spans="1:6" x14ac:dyDescent="0.2">
      <c r="A44" s="3">
        <v>43</v>
      </c>
      <c r="B44" s="3">
        <v>3</v>
      </c>
      <c r="C44" s="3">
        <v>3</v>
      </c>
      <c r="D44" s="3">
        <v>4</v>
      </c>
      <c r="E44" s="3">
        <v>3</v>
      </c>
      <c r="F44" s="4">
        <f t="shared" si="0"/>
        <v>13</v>
      </c>
    </row>
    <row r="45" spans="1:6" x14ac:dyDescent="0.2">
      <c r="A45" s="3">
        <v>44</v>
      </c>
      <c r="B45" s="3">
        <v>4</v>
      </c>
      <c r="C45" s="3">
        <v>4</v>
      </c>
      <c r="D45" s="3">
        <v>4</v>
      </c>
      <c r="E45" s="3">
        <v>4</v>
      </c>
      <c r="F45" s="4">
        <f t="shared" si="0"/>
        <v>16</v>
      </c>
    </row>
    <row r="46" spans="1:6" x14ac:dyDescent="0.2">
      <c r="A46" s="3">
        <v>45</v>
      </c>
      <c r="B46" s="3">
        <v>3</v>
      </c>
      <c r="C46" s="3">
        <v>3</v>
      </c>
      <c r="D46" s="3">
        <v>3</v>
      </c>
      <c r="E46" s="3">
        <v>3</v>
      </c>
      <c r="F46" s="4">
        <f t="shared" si="0"/>
        <v>12</v>
      </c>
    </row>
    <row r="47" spans="1:6" x14ac:dyDescent="0.2">
      <c r="A47" s="3">
        <v>46</v>
      </c>
      <c r="B47" s="3">
        <v>4</v>
      </c>
      <c r="C47" s="3">
        <v>4</v>
      </c>
      <c r="D47" s="3">
        <v>4</v>
      </c>
      <c r="E47" s="3">
        <v>4</v>
      </c>
      <c r="F47" s="4">
        <f t="shared" si="0"/>
        <v>16</v>
      </c>
    </row>
    <row r="48" spans="1:6" x14ac:dyDescent="0.2">
      <c r="A48" s="3">
        <v>47</v>
      </c>
      <c r="B48" s="3">
        <v>4</v>
      </c>
      <c r="C48" s="3">
        <v>4</v>
      </c>
      <c r="D48" s="3">
        <v>4</v>
      </c>
      <c r="E48" s="3">
        <v>4</v>
      </c>
      <c r="F48" s="4">
        <f t="shared" si="0"/>
        <v>16</v>
      </c>
    </row>
    <row r="49" spans="1:6" x14ac:dyDescent="0.2">
      <c r="A49" s="3">
        <v>48</v>
      </c>
      <c r="B49" s="3">
        <v>3</v>
      </c>
      <c r="C49" s="3">
        <v>3</v>
      </c>
      <c r="D49" s="3">
        <v>4</v>
      </c>
      <c r="E49" s="3">
        <v>4</v>
      </c>
      <c r="F49" s="4">
        <f t="shared" si="0"/>
        <v>14</v>
      </c>
    </row>
    <row r="50" spans="1:6" x14ac:dyDescent="0.2">
      <c r="A50" s="3">
        <v>49</v>
      </c>
      <c r="B50" s="3">
        <v>3</v>
      </c>
      <c r="C50" s="3">
        <v>2</v>
      </c>
      <c r="D50" s="3">
        <v>2</v>
      </c>
      <c r="E50" s="3">
        <v>2</v>
      </c>
      <c r="F50" s="4">
        <f t="shared" si="0"/>
        <v>9</v>
      </c>
    </row>
    <row r="51" spans="1:6" x14ac:dyDescent="0.2">
      <c r="A51" s="3">
        <v>50</v>
      </c>
      <c r="B51" s="3">
        <v>3</v>
      </c>
      <c r="C51" s="3">
        <v>3</v>
      </c>
      <c r="D51" s="3">
        <v>3</v>
      </c>
      <c r="E51" s="3">
        <v>4</v>
      </c>
      <c r="F51" s="4">
        <f t="shared" si="0"/>
        <v>13</v>
      </c>
    </row>
    <row r="52" spans="1:6" x14ac:dyDescent="0.2">
      <c r="A52" s="8" t="s">
        <v>5</v>
      </c>
      <c r="B52" s="8">
        <f t="shared" ref="B52:F52" si="1">SUM(B2:B51)</f>
        <v>177</v>
      </c>
      <c r="C52" s="8">
        <f t="shared" si="1"/>
        <v>175</v>
      </c>
      <c r="D52" s="8">
        <f t="shared" si="1"/>
        <v>179</v>
      </c>
      <c r="E52" s="8">
        <f t="shared" si="1"/>
        <v>179</v>
      </c>
      <c r="F52" s="9">
        <f t="shared" si="1"/>
        <v>710</v>
      </c>
    </row>
    <row r="54" spans="1:6" x14ac:dyDescent="0.2">
      <c r="A54" s="10" t="s">
        <v>129</v>
      </c>
      <c r="B54" s="11"/>
      <c r="C54" s="11"/>
      <c r="D54" s="11"/>
      <c r="E54" s="11"/>
    </row>
    <row r="55" spans="1:6" x14ac:dyDescent="0.2">
      <c r="A55" s="12" t="s">
        <v>131</v>
      </c>
      <c r="B55" s="13">
        <v>0.27900000000000003</v>
      </c>
      <c r="C55" s="13">
        <v>0.27900000000000003</v>
      </c>
      <c r="D55" s="13">
        <v>0.27900000000000003</v>
      </c>
      <c r="E55" s="13">
        <v>0.27900000000000003</v>
      </c>
    </row>
    <row r="56" spans="1:6" x14ac:dyDescent="0.2">
      <c r="A56" s="12" t="s">
        <v>134</v>
      </c>
      <c r="B56" s="14">
        <f t="shared" ref="B56:E56" si="2">CORREL(B2:B51,$F$2:$F$51)</f>
        <v>0.79157883473287227</v>
      </c>
      <c r="C56" s="14">
        <f t="shared" si="2"/>
        <v>0.925362791718089</v>
      </c>
      <c r="D56" s="14">
        <f t="shared" si="2"/>
        <v>0.88109030865922111</v>
      </c>
      <c r="E56" s="14">
        <f t="shared" si="2"/>
        <v>0.80539526495997515</v>
      </c>
    </row>
    <row r="57" spans="1:6" x14ac:dyDescent="0.2">
      <c r="A57" s="12" t="s">
        <v>138</v>
      </c>
      <c r="B57" s="15" t="str">
        <f t="shared" ref="B57:E57" si="3">IF(B56&gt;B55,"Valid","Tidak Valid")</f>
        <v>Valid</v>
      </c>
      <c r="C57" s="15" t="str">
        <f t="shared" si="3"/>
        <v>Valid</v>
      </c>
      <c r="D57" s="15" t="str">
        <f t="shared" si="3"/>
        <v>Valid</v>
      </c>
      <c r="E57" s="15" t="str">
        <f t="shared" si="3"/>
        <v>Valid</v>
      </c>
    </row>
    <row r="58" spans="1:6" x14ac:dyDescent="0.2">
      <c r="A58" s="11"/>
      <c r="B58" s="11"/>
      <c r="C58" s="11"/>
      <c r="D58" s="11"/>
      <c r="E58" s="11"/>
    </row>
    <row r="59" spans="1:6" x14ac:dyDescent="0.2">
      <c r="A59" s="11"/>
      <c r="B59" s="11"/>
      <c r="C59" s="11"/>
      <c r="D59" s="11"/>
      <c r="E59" s="11"/>
    </row>
    <row r="60" spans="1:6" x14ac:dyDescent="0.2">
      <c r="A60" s="10" t="s">
        <v>140</v>
      </c>
      <c r="B60" s="11"/>
      <c r="C60" s="11"/>
      <c r="D60" s="11"/>
      <c r="E60" s="11"/>
    </row>
    <row r="61" spans="1:6" x14ac:dyDescent="0.2">
      <c r="A61" s="12" t="s">
        <v>141</v>
      </c>
      <c r="B61" s="14">
        <f t="shared" ref="B61:E61" si="4">VAR(B1:B51)</f>
        <v>0.49836734693877466</v>
      </c>
      <c r="C61" s="14">
        <f t="shared" si="4"/>
        <v>0.45918367346938777</v>
      </c>
      <c r="D61" s="14">
        <f t="shared" si="4"/>
        <v>0.37102040816326426</v>
      </c>
      <c r="E61" s="14">
        <f t="shared" si="4"/>
        <v>0.37102040816326426</v>
      </c>
    </row>
    <row r="62" spans="1:6" x14ac:dyDescent="0.2">
      <c r="A62" s="12" t="s">
        <v>142</v>
      </c>
      <c r="B62" s="14">
        <f>SUM(B61:E61)</f>
        <v>1.6995918367346909</v>
      </c>
      <c r="C62" s="12"/>
      <c r="D62" s="12"/>
      <c r="E62" s="12"/>
    </row>
    <row r="63" spans="1:6" x14ac:dyDescent="0.2">
      <c r="A63" s="12" t="s">
        <v>143</v>
      </c>
      <c r="B63" s="14">
        <f>VAR(F1:F51)</f>
        <v>4.8979591836734695</v>
      </c>
      <c r="C63" s="12"/>
      <c r="D63" s="12"/>
      <c r="E63" s="12"/>
    </row>
    <row r="64" spans="1:6" x14ac:dyDescent="0.2">
      <c r="A64" s="12" t="s">
        <v>138</v>
      </c>
      <c r="B64" s="14">
        <f>(4/3)*(1-B62/B63)</f>
        <v>0.87066666666666737</v>
      </c>
      <c r="C64" s="26" t="str">
        <f>IF(B64&lt;0.8,"Tidak Reliabel","Reliabel")</f>
        <v>Reliabel</v>
      </c>
      <c r="D64" s="27"/>
      <c r="E64" s="28"/>
    </row>
  </sheetData>
  <mergeCells count="1">
    <mergeCell ref="C64:E6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38"/>
  <sheetViews>
    <sheetView workbookViewId="0"/>
  </sheetViews>
  <sheetFormatPr defaultColWidth="12.5703125" defaultRowHeight="15.75" customHeight="1" x14ac:dyDescent="0.2"/>
  <cols>
    <col min="9" max="9" width="87.7109375" customWidth="1"/>
  </cols>
  <sheetData>
    <row r="1" spans="1:9" x14ac:dyDescent="0.2">
      <c r="A1" s="1" t="s">
        <v>0</v>
      </c>
      <c r="B1" s="1" t="s">
        <v>1</v>
      </c>
      <c r="C1" s="1" t="s">
        <v>2</v>
      </c>
      <c r="D1" s="1" t="s">
        <v>3</v>
      </c>
      <c r="E1" s="1" t="s">
        <v>4</v>
      </c>
      <c r="F1" s="2" t="s">
        <v>5</v>
      </c>
    </row>
    <row r="2" spans="1:9" x14ac:dyDescent="0.2">
      <c r="A2" s="3">
        <v>1</v>
      </c>
      <c r="B2" s="3">
        <v>3</v>
      </c>
      <c r="C2" s="3">
        <v>4</v>
      </c>
      <c r="D2" s="3">
        <v>2</v>
      </c>
      <c r="E2" s="3">
        <v>4</v>
      </c>
      <c r="F2" s="4">
        <f t="shared" ref="F2:F25" si="0">SUM(B2:E2)</f>
        <v>13</v>
      </c>
      <c r="H2" s="5" t="s">
        <v>1</v>
      </c>
      <c r="I2" s="5" t="s">
        <v>116</v>
      </c>
    </row>
    <row r="3" spans="1:9" x14ac:dyDescent="0.2">
      <c r="A3" s="3">
        <v>2</v>
      </c>
      <c r="B3" s="3">
        <v>3</v>
      </c>
      <c r="C3" s="3">
        <v>3</v>
      </c>
      <c r="D3" s="3">
        <v>3</v>
      </c>
      <c r="E3" s="3">
        <v>3</v>
      </c>
      <c r="F3" s="4">
        <f t="shared" si="0"/>
        <v>12</v>
      </c>
      <c r="H3" s="5" t="s">
        <v>2</v>
      </c>
      <c r="I3" s="5" t="s">
        <v>119</v>
      </c>
    </row>
    <row r="4" spans="1:9" x14ac:dyDescent="0.2">
      <c r="A4" s="3">
        <v>3</v>
      </c>
      <c r="B4" s="3">
        <v>3</v>
      </c>
      <c r="C4" s="3">
        <v>4</v>
      </c>
      <c r="D4" s="3">
        <v>4</v>
      </c>
      <c r="E4" s="3">
        <v>4</v>
      </c>
      <c r="F4" s="4">
        <f t="shared" si="0"/>
        <v>15</v>
      </c>
      <c r="H4" s="5" t="s">
        <v>3</v>
      </c>
      <c r="I4" s="5" t="s">
        <v>120</v>
      </c>
    </row>
    <row r="5" spans="1:9" x14ac:dyDescent="0.2">
      <c r="A5" s="3">
        <v>4</v>
      </c>
      <c r="B5" s="3">
        <v>4</v>
      </c>
      <c r="C5" s="3">
        <v>3</v>
      </c>
      <c r="D5" s="3">
        <v>4</v>
      </c>
      <c r="E5" s="3">
        <v>3</v>
      </c>
      <c r="F5" s="4">
        <f t="shared" si="0"/>
        <v>14</v>
      </c>
      <c r="H5" s="5" t="s">
        <v>4</v>
      </c>
      <c r="I5" s="5" t="s">
        <v>121</v>
      </c>
    </row>
    <row r="6" spans="1:9" x14ac:dyDescent="0.2">
      <c r="A6" s="3">
        <v>5</v>
      </c>
      <c r="B6" s="3">
        <v>4</v>
      </c>
      <c r="C6" s="3">
        <v>4</v>
      </c>
      <c r="D6" s="3">
        <v>4</v>
      </c>
      <c r="E6" s="3">
        <v>3</v>
      </c>
      <c r="F6" s="4">
        <f t="shared" si="0"/>
        <v>15</v>
      </c>
    </row>
    <row r="7" spans="1:9" x14ac:dyDescent="0.2">
      <c r="A7" s="3">
        <v>6</v>
      </c>
      <c r="B7" s="3">
        <v>4</v>
      </c>
      <c r="C7" s="3">
        <v>4</v>
      </c>
      <c r="D7" s="3">
        <v>4</v>
      </c>
      <c r="E7" s="3">
        <v>4</v>
      </c>
      <c r="F7" s="4">
        <f t="shared" si="0"/>
        <v>16</v>
      </c>
    </row>
    <row r="8" spans="1:9" x14ac:dyDescent="0.2">
      <c r="A8" s="3">
        <v>7</v>
      </c>
      <c r="B8" s="3">
        <v>2</v>
      </c>
      <c r="C8" s="3">
        <v>4</v>
      </c>
      <c r="D8" s="3">
        <v>4</v>
      </c>
      <c r="E8" s="3">
        <v>4</v>
      </c>
      <c r="F8" s="4">
        <f t="shared" si="0"/>
        <v>14</v>
      </c>
    </row>
    <row r="9" spans="1:9" x14ac:dyDescent="0.2">
      <c r="A9" s="3">
        <v>8</v>
      </c>
      <c r="B9" s="3">
        <v>3</v>
      </c>
      <c r="C9" s="3">
        <v>3</v>
      </c>
      <c r="D9" s="3">
        <v>3</v>
      </c>
      <c r="E9" s="3">
        <v>3</v>
      </c>
      <c r="F9" s="4">
        <f t="shared" si="0"/>
        <v>12</v>
      </c>
    </row>
    <row r="10" spans="1:9" x14ac:dyDescent="0.2">
      <c r="A10" s="3">
        <v>9</v>
      </c>
      <c r="B10" s="3">
        <v>3</v>
      </c>
      <c r="C10" s="3">
        <v>4</v>
      </c>
      <c r="D10" s="3">
        <v>4</v>
      </c>
      <c r="E10" s="3">
        <v>4</v>
      </c>
      <c r="F10" s="4">
        <f t="shared" si="0"/>
        <v>15</v>
      </c>
    </row>
    <row r="11" spans="1:9" x14ac:dyDescent="0.2">
      <c r="A11" s="3">
        <v>10</v>
      </c>
      <c r="B11" s="3">
        <v>3</v>
      </c>
      <c r="C11" s="3">
        <v>3</v>
      </c>
      <c r="D11" s="3">
        <v>2</v>
      </c>
      <c r="E11" s="3">
        <v>3</v>
      </c>
      <c r="F11" s="4">
        <f t="shared" si="0"/>
        <v>11</v>
      </c>
    </row>
    <row r="12" spans="1:9" x14ac:dyDescent="0.2">
      <c r="A12" s="3">
        <v>11</v>
      </c>
      <c r="B12" s="3">
        <v>4</v>
      </c>
      <c r="C12" s="3">
        <v>4</v>
      </c>
      <c r="D12" s="3">
        <v>4</v>
      </c>
      <c r="E12" s="3">
        <v>4</v>
      </c>
      <c r="F12" s="4">
        <f t="shared" si="0"/>
        <v>16</v>
      </c>
    </row>
    <row r="13" spans="1:9" x14ac:dyDescent="0.2">
      <c r="A13" s="3">
        <v>12</v>
      </c>
      <c r="B13" s="3">
        <v>4</v>
      </c>
      <c r="C13" s="3">
        <v>4</v>
      </c>
      <c r="D13" s="3">
        <v>4</v>
      </c>
      <c r="E13" s="3">
        <v>4</v>
      </c>
      <c r="F13" s="4">
        <f t="shared" si="0"/>
        <v>16</v>
      </c>
    </row>
    <row r="14" spans="1:9" x14ac:dyDescent="0.2">
      <c r="A14" s="3">
        <v>13</v>
      </c>
      <c r="B14" s="3">
        <v>3</v>
      </c>
      <c r="C14" s="3">
        <v>4</v>
      </c>
      <c r="D14" s="3">
        <v>4</v>
      </c>
      <c r="E14" s="3">
        <v>3</v>
      </c>
      <c r="F14" s="4">
        <f t="shared" si="0"/>
        <v>14</v>
      </c>
    </row>
    <row r="15" spans="1:9" x14ac:dyDescent="0.2">
      <c r="A15" s="3">
        <v>14</v>
      </c>
      <c r="B15" s="3">
        <v>4</v>
      </c>
      <c r="C15" s="3">
        <v>4</v>
      </c>
      <c r="D15" s="3">
        <v>4</v>
      </c>
      <c r="E15" s="3">
        <v>4</v>
      </c>
      <c r="F15" s="4">
        <f t="shared" si="0"/>
        <v>16</v>
      </c>
    </row>
    <row r="16" spans="1:9" x14ac:dyDescent="0.2">
      <c r="A16" s="3">
        <v>15</v>
      </c>
      <c r="B16" s="3">
        <v>3</v>
      </c>
      <c r="C16" s="3">
        <v>3</v>
      </c>
      <c r="D16" s="3">
        <v>3</v>
      </c>
      <c r="E16" s="3">
        <v>3</v>
      </c>
      <c r="F16" s="4">
        <f t="shared" si="0"/>
        <v>12</v>
      </c>
    </row>
    <row r="17" spans="1:6" x14ac:dyDescent="0.2">
      <c r="A17" s="3">
        <v>16</v>
      </c>
      <c r="B17" s="3">
        <v>4</v>
      </c>
      <c r="C17" s="3">
        <v>4</v>
      </c>
      <c r="D17" s="3">
        <v>4</v>
      </c>
      <c r="E17" s="3">
        <v>4</v>
      </c>
      <c r="F17" s="4">
        <f t="shared" si="0"/>
        <v>16</v>
      </c>
    </row>
    <row r="18" spans="1:6" x14ac:dyDescent="0.2">
      <c r="A18" s="3">
        <v>17</v>
      </c>
      <c r="B18" s="3">
        <v>3</v>
      </c>
      <c r="C18" s="3">
        <v>3</v>
      </c>
      <c r="D18" s="3">
        <v>3</v>
      </c>
      <c r="E18" s="3">
        <v>1</v>
      </c>
      <c r="F18" s="4">
        <f t="shared" si="0"/>
        <v>10</v>
      </c>
    </row>
    <row r="19" spans="1:6" x14ac:dyDescent="0.2">
      <c r="A19" s="3">
        <v>18</v>
      </c>
      <c r="B19" s="3">
        <v>2</v>
      </c>
      <c r="C19" s="3">
        <v>3</v>
      </c>
      <c r="D19" s="3">
        <v>3</v>
      </c>
      <c r="E19" s="3">
        <v>2</v>
      </c>
      <c r="F19" s="4">
        <f t="shared" si="0"/>
        <v>10</v>
      </c>
    </row>
    <row r="20" spans="1:6" x14ac:dyDescent="0.2">
      <c r="A20" s="3">
        <v>19</v>
      </c>
      <c r="B20" s="3">
        <v>4</v>
      </c>
      <c r="C20" s="3">
        <v>3</v>
      </c>
      <c r="D20" s="3">
        <v>3</v>
      </c>
      <c r="E20" s="3">
        <v>3</v>
      </c>
      <c r="F20" s="4">
        <f t="shared" si="0"/>
        <v>13</v>
      </c>
    </row>
    <row r="21" spans="1:6" x14ac:dyDescent="0.2">
      <c r="A21" s="3">
        <v>20</v>
      </c>
      <c r="B21" s="3">
        <v>4</v>
      </c>
      <c r="C21" s="3">
        <v>4</v>
      </c>
      <c r="D21" s="3">
        <v>4</v>
      </c>
      <c r="E21" s="3">
        <v>4</v>
      </c>
      <c r="F21" s="4">
        <f t="shared" si="0"/>
        <v>16</v>
      </c>
    </row>
    <row r="22" spans="1:6" x14ac:dyDescent="0.2">
      <c r="A22" s="3">
        <v>21</v>
      </c>
      <c r="B22" s="3">
        <v>3</v>
      </c>
      <c r="C22" s="3">
        <v>4</v>
      </c>
      <c r="D22" s="3">
        <v>4</v>
      </c>
      <c r="E22" s="3">
        <v>3</v>
      </c>
      <c r="F22" s="4">
        <f t="shared" si="0"/>
        <v>14</v>
      </c>
    </row>
    <row r="23" spans="1:6" x14ac:dyDescent="0.2">
      <c r="A23" s="3">
        <v>22</v>
      </c>
      <c r="B23" s="3">
        <v>3</v>
      </c>
      <c r="C23" s="3">
        <v>4</v>
      </c>
      <c r="D23" s="3">
        <v>4</v>
      </c>
      <c r="E23" s="3">
        <v>3</v>
      </c>
      <c r="F23" s="4">
        <f t="shared" si="0"/>
        <v>14</v>
      </c>
    </row>
    <row r="24" spans="1:6" x14ac:dyDescent="0.2">
      <c r="A24" s="3">
        <v>23</v>
      </c>
      <c r="B24" s="3">
        <v>4</v>
      </c>
      <c r="C24" s="3">
        <v>4</v>
      </c>
      <c r="D24" s="3">
        <v>4</v>
      </c>
      <c r="E24" s="3">
        <v>4</v>
      </c>
      <c r="F24" s="4">
        <f t="shared" si="0"/>
        <v>16</v>
      </c>
    </row>
    <row r="25" spans="1:6" x14ac:dyDescent="0.2">
      <c r="A25" s="3">
        <v>24</v>
      </c>
      <c r="B25" s="3">
        <v>4</v>
      </c>
      <c r="C25" s="3">
        <v>3</v>
      </c>
      <c r="D25" s="3">
        <v>4</v>
      </c>
      <c r="E25" s="3">
        <v>4</v>
      </c>
      <c r="F25" s="4">
        <f t="shared" si="0"/>
        <v>15</v>
      </c>
    </row>
    <row r="26" spans="1:6" x14ac:dyDescent="0.2">
      <c r="A26" s="8" t="s">
        <v>5</v>
      </c>
      <c r="B26" s="8">
        <f t="shared" ref="B26:F26" si="1">SUM(B2:B25)</f>
        <v>81</v>
      </c>
      <c r="C26" s="8">
        <f t="shared" si="1"/>
        <v>87</v>
      </c>
      <c r="D26" s="8">
        <f t="shared" si="1"/>
        <v>86</v>
      </c>
      <c r="E26" s="8">
        <f t="shared" si="1"/>
        <v>81</v>
      </c>
      <c r="F26" s="9">
        <f t="shared" si="1"/>
        <v>335</v>
      </c>
    </row>
    <row r="28" spans="1:6" x14ac:dyDescent="0.2">
      <c r="A28" s="10" t="s">
        <v>129</v>
      </c>
      <c r="B28" s="11"/>
      <c r="C28" s="11"/>
      <c r="D28" s="11"/>
      <c r="E28" s="11"/>
    </row>
    <row r="29" spans="1:6" x14ac:dyDescent="0.2">
      <c r="A29" s="12" t="s">
        <v>131</v>
      </c>
      <c r="B29" s="13">
        <v>0.40400000000000003</v>
      </c>
      <c r="C29" s="13">
        <v>0.40400000000000003</v>
      </c>
      <c r="D29" s="13">
        <v>0.40400000000000003</v>
      </c>
      <c r="E29" s="13">
        <v>0.40400000000000003</v>
      </c>
    </row>
    <row r="30" spans="1:6" x14ac:dyDescent="0.2">
      <c r="A30" s="12" t="s">
        <v>134</v>
      </c>
      <c r="B30" s="14">
        <f t="shared" ref="B30:E30" si="2">CORREL(B2:B25,$F$2:$F$25)</f>
        <v>0.66970838794724707</v>
      </c>
      <c r="C30" s="14">
        <f t="shared" si="2"/>
        <v>0.75170040962456552</v>
      </c>
      <c r="D30" s="14">
        <f t="shared" si="2"/>
        <v>0.77229293255683973</v>
      </c>
      <c r="E30" s="14">
        <f t="shared" si="2"/>
        <v>0.82435069998657662</v>
      </c>
    </row>
    <row r="31" spans="1:6" x14ac:dyDescent="0.2">
      <c r="A31" s="12" t="s">
        <v>138</v>
      </c>
      <c r="B31" s="15" t="str">
        <f t="shared" ref="B31:E31" si="3">IF(B30&gt;B29,"Valid","Tidak Valid")</f>
        <v>Valid</v>
      </c>
      <c r="C31" s="15" t="str">
        <f t="shared" si="3"/>
        <v>Valid</v>
      </c>
      <c r="D31" s="15" t="str">
        <f t="shared" si="3"/>
        <v>Valid</v>
      </c>
      <c r="E31" s="15" t="str">
        <f t="shared" si="3"/>
        <v>Valid</v>
      </c>
    </row>
    <row r="32" spans="1:6" x14ac:dyDescent="0.2">
      <c r="A32" s="11"/>
      <c r="B32" s="11"/>
      <c r="C32" s="11"/>
      <c r="D32" s="11"/>
      <c r="E32" s="11"/>
    </row>
    <row r="33" spans="1:5" x14ac:dyDescent="0.2">
      <c r="A33" s="11"/>
      <c r="B33" s="11"/>
      <c r="C33" s="11"/>
      <c r="D33" s="11"/>
      <c r="E33" s="11"/>
    </row>
    <row r="34" spans="1:5" x14ac:dyDescent="0.2">
      <c r="A34" s="10" t="s">
        <v>140</v>
      </c>
      <c r="B34" s="11"/>
      <c r="C34" s="11"/>
      <c r="D34" s="11"/>
      <c r="E34" s="11"/>
    </row>
    <row r="35" spans="1:5" x14ac:dyDescent="0.2">
      <c r="A35" s="12" t="s">
        <v>141</v>
      </c>
      <c r="B35" s="14">
        <f t="shared" ref="B35:E35" si="4">VAR(B2:B25)</f>
        <v>0.41847826086956524</v>
      </c>
      <c r="C35" s="14">
        <f t="shared" si="4"/>
        <v>0.24456521739130435</v>
      </c>
      <c r="D35" s="14">
        <f t="shared" si="4"/>
        <v>0.42753623188405715</v>
      </c>
      <c r="E35" s="14">
        <f t="shared" si="4"/>
        <v>0.59239130434782605</v>
      </c>
    </row>
    <row r="36" spans="1:5" x14ac:dyDescent="0.2">
      <c r="A36" s="12" t="s">
        <v>142</v>
      </c>
      <c r="B36" s="14">
        <f>SUM(B35:E35)</f>
        <v>1.682971014492753</v>
      </c>
      <c r="C36" s="12"/>
      <c r="D36" s="12"/>
      <c r="E36" s="12"/>
    </row>
    <row r="37" spans="1:5" x14ac:dyDescent="0.2">
      <c r="A37" s="12" t="s">
        <v>143</v>
      </c>
      <c r="B37" s="14">
        <f>VAR(F2:F25)</f>
        <v>3.7807971014492621</v>
      </c>
      <c r="C37" s="12"/>
      <c r="D37" s="12"/>
      <c r="E37" s="12"/>
    </row>
    <row r="38" spans="1:5" x14ac:dyDescent="0.2">
      <c r="A38" s="12" t="s">
        <v>138</v>
      </c>
      <c r="B38" s="14">
        <f>(4/3)*(1-B36/B37)</f>
        <v>0.73981792045998862</v>
      </c>
      <c r="C38" s="26" t="str">
        <f>IF(B38&lt;0.7,"Tidak Reliabel","Reliabel")</f>
        <v>Reliabel</v>
      </c>
      <c r="D38" s="27"/>
      <c r="E38" s="28"/>
    </row>
  </sheetData>
  <mergeCells count="1">
    <mergeCell ref="C38:E3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R7"/>
  <sheetViews>
    <sheetView workbookViewId="0">
      <pane ySplit="1" topLeftCell="A2" activePane="bottomLeft" state="frozen"/>
      <selection pane="bottomLeft" activeCell="B3" sqref="B3"/>
    </sheetView>
  </sheetViews>
  <sheetFormatPr defaultColWidth="12.5703125" defaultRowHeight="15.75" customHeight="1" x14ac:dyDescent="0.2"/>
  <cols>
    <col min="1" max="9" width="18.85546875" customWidth="1"/>
    <col min="10" max="10" width="25.140625" customWidth="1"/>
    <col min="11" max="11" width="18.85546875" customWidth="1"/>
    <col min="12" max="116" width="37.5703125" customWidth="1"/>
    <col min="117" max="122" width="18.85546875" customWidth="1"/>
  </cols>
  <sheetData>
    <row r="1" spans="1:122" ht="22.5" customHeight="1" x14ac:dyDescent="0.2">
      <c r="A1" s="6" t="s">
        <v>13</v>
      </c>
      <c r="B1" s="6" t="s">
        <v>17</v>
      </c>
      <c r="C1" s="6" t="s">
        <v>18</v>
      </c>
      <c r="D1" s="6" t="s">
        <v>19</v>
      </c>
      <c r="E1" s="6" t="s">
        <v>21</v>
      </c>
      <c r="F1" s="6" t="s">
        <v>165</v>
      </c>
      <c r="G1" s="6" t="s">
        <v>23</v>
      </c>
      <c r="H1" s="6" t="s">
        <v>24</v>
      </c>
      <c r="I1" s="6" t="s">
        <v>25</v>
      </c>
      <c r="J1" s="6" t="s">
        <v>26</v>
      </c>
      <c r="K1" s="6" t="s">
        <v>28</v>
      </c>
      <c r="L1" s="6" t="s">
        <v>30</v>
      </c>
      <c r="M1" s="6" t="s">
        <v>31</v>
      </c>
      <c r="N1" s="6" t="s">
        <v>32</v>
      </c>
      <c r="O1" s="6" t="s">
        <v>33</v>
      </c>
      <c r="P1" s="6" t="s">
        <v>34</v>
      </c>
      <c r="Q1" s="6" t="s">
        <v>35</v>
      </c>
      <c r="R1" s="6" t="s">
        <v>36</v>
      </c>
      <c r="S1" s="6" t="s">
        <v>38</v>
      </c>
      <c r="T1" s="6" t="s">
        <v>40</v>
      </c>
      <c r="U1" s="6" t="s">
        <v>41</v>
      </c>
      <c r="V1" s="6" t="s">
        <v>42</v>
      </c>
      <c r="W1" s="6" t="s">
        <v>43</v>
      </c>
      <c r="X1" s="6" t="s">
        <v>44</v>
      </c>
      <c r="Y1" s="6" t="s">
        <v>45</v>
      </c>
      <c r="Z1" s="6" t="s">
        <v>46</v>
      </c>
      <c r="AA1" s="6" t="s">
        <v>47</v>
      </c>
      <c r="AB1" s="6" t="s">
        <v>48</v>
      </c>
      <c r="AC1" s="6" t="s">
        <v>50</v>
      </c>
      <c r="AD1" s="6" t="s">
        <v>51</v>
      </c>
      <c r="AE1" s="6" t="s">
        <v>52</v>
      </c>
      <c r="AF1" s="6" t="s">
        <v>53</v>
      </c>
      <c r="AG1" s="6" t="s">
        <v>54</v>
      </c>
      <c r="AH1" s="6" t="s">
        <v>55</v>
      </c>
      <c r="AI1" s="6" t="s">
        <v>56</v>
      </c>
      <c r="AJ1" s="6" t="s">
        <v>57</v>
      </c>
      <c r="AK1" s="6" t="s">
        <v>59</v>
      </c>
      <c r="AL1" s="6" t="s">
        <v>60</v>
      </c>
      <c r="AM1" s="6" t="s">
        <v>61</v>
      </c>
      <c r="AN1" s="6" t="s">
        <v>62</v>
      </c>
      <c r="AO1" s="6" t="s">
        <v>63</v>
      </c>
      <c r="AP1" s="6" t="s">
        <v>64</v>
      </c>
      <c r="AQ1" s="6" t="s">
        <v>65</v>
      </c>
      <c r="AR1" s="6" t="s">
        <v>67</v>
      </c>
      <c r="AS1" s="6" t="s">
        <v>68</v>
      </c>
      <c r="AT1" s="6" t="s">
        <v>69</v>
      </c>
      <c r="AU1" s="6" t="s">
        <v>71</v>
      </c>
      <c r="AV1" s="6" t="s">
        <v>72</v>
      </c>
      <c r="AW1" s="6" t="s">
        <v>73</v>
      </c>
      <c r="AX1" s="6" t="s">
        <v>74</v>
      </c>
      <c r="AY1" s="6" t="s">
        <v>75</v>
      </c>
      <c r="AZ1" s="6" t="s">
        <v>76</v>
      </c>
      <c r="BA1" s="6" t="s">
        <v>77</v>
      </c>
      <c r="BB1" s="6" t="s">
        <v>78</v>
      </c>
      <c r="BC1" s="6" t="s">
        <v>79</v>
      </c>
      <c r="BD1" s="6" t="s">
        <v>80</v>
      </c>
      <c r="BE1" s="6" t="s">
        <v>81</v>
      </c>
      <c r="BF1" s="6" t="s">
        <v>82</v>
      </c>
      <c r="BG1" s="6" t="s">
        <v>83</v>
      </c>
      <c r="BH1" s="6" t="s">
        <v>84</v>
      </c>
      <c r="BI1" s="6" t="s">
        <v>85</v>
      </c>
      <c r="BJ1" s="6" t="s">
        <v>86</v>
      </c>
      <c r="BK1" s="6" t="s">
        <v>87</v>
      </c>
      <c r="BL1" s="6" t="s">
        <v>88</v>
      </c>
      <c r="BM1" s="6" t="s">
        <v>89</v>
      </c>
      <c r="BN1" s="6" t="s">
        <v>90</v>
      </c>
      <c r="BO1" s="6" t="s">
        <v>91</v>
      </c>
      <c r="BP1" s="6" t="s">
        <v>92</v>
      </c>
      <c r="BQ1" s="6" t="s">
        <v>93</v>
      </c>
      <c r="BR1" s="6" t="s">
        <v>94</v>
      </c>
      <c r="BS1" s="6" t="s">
        <v>95</v>
      </c>
      <c r="BT1" s="6" t="s">
        <v>96</v>
      </c>
      <c r="BU1" s="6" t="s">
        <v>97</v>
      </c>
      <c r="BV1" s="6" t="s">
        <v>98</v>
      </c>
      <c r="BW1" s="6" t="s">
        <v>99</v>
      </c>
      <c r="BX1" s="6" t="s">
        <v>100</v>
      </c>
      <c r="BY1" s="6" t="s">
        <v>101</v>
      </c>
      <c r="BZ1" s="6" t="s">
        <v>102</v>
      </c>
      <c r="CA1" s="6" t="s">
        <v>103</v>
      </c>
      <c r="CB1" s="6" t="s">
        <v>104</v>
      </c>
      <c r="CC1" s="6" t="s">
        <v>105</v>
      </c>
      <c r="CD1" s="6" t="s">
        <v>106</v>
      </c>
      <c r="CE1" s="6" t="s">
        <v>107</v>
      </c>
      <c r="CF1" s="6" t="s">
        <v>108</v>
      </c>
      <c r="CG1" s="6" t="s">
        <v>109</v>
      </c>
      <c r="CH1" s="6" t="s">
        <v>110</v>
      </c>
      <c r="CI1" s="6" t="s">
        <v>111</v>
      </c>
      <c r="CJ1" s="6" t="s">
        <v>112</v>
      </c>
      <c r="CK1" s="6" t="s">
        <v>113</v>
      </c>
      <c r="CL1" s="6" t="s">
        <v>114</v>
      </c>
      <c r="CM1" s="6" t="s">
        <v>11</v>
      </c>
      <c r="CN1" s="6" t="s">
        <v>16</v>
      </c>
      <c r="CO1" s="6" t="s">
        <v>10</v>
      </c>
      <c r="CP1" s="6" t="s">
        <v>14</v>
      </c>
      <c r="CQ1" s="6" t="s">
        <v>27</v>
      </c>
      <c r="CR1" s="6" t="s">
        <v>39</v>
      </c>
      <c r="CS1" s="6" t="s">
        <v>12</v>
      </c>
      <c r="CT1" s="6" t="s">
        <v>20</v>
      </c>
      <c r="CU1" s="6" t="s">
        <v>49</v>
      </c>
      <c r="CV1" s="6" t="s">
        <v>15</v>
      </c>
      <c r="CW1" s="6" t="s">
        <v>29</v>
      </c>
      <c r="CX1" s="6" t="s">
        <v>58</v>
      </c>
      <c r="CY1" s="6" t="s">
        <v>22</v>
      </c>
      <c r="CZ1" s="6" t="s">
        <v>37</v>
      </c>
      <c r="DA1" s="6" t="s">
        <v>66</v>
      </c>
      <c r="DB1" s="6" t="s">
        <v>70</v>
      </c>
      <c r="DC1" s="6" t="s">
        <v>115</v>
      </c>
      <c r="DD1" s="6" t="s">
        <v>116</v>
      </c>
      <c r="DE1" s="6" t="s">
        <v>117</v>
      </c>
      <c r="DF1" s="6" t="s">
        <v>118</v>
      </c>
      <c r="DG1" s="6" t="s">
        <v>119</v>
      </c>
      <c r="DH1" s="6" t="s">
        <v>120</v>
      </c>
      <c r="DI1" s="6" t="s">
        <v>121</v>
      </c>
      <c r="DJ1" s="6" t="s">
        <v>122</v>
      </c>
      <c r="DK1" s="6" t="s">
        <v>123</v>
      </c>
      <c r="DL1" s="6" t="s">
        <v>124</v>
      </c>
      <c r="DM1" s="6" t="s">
        <v>181</v>
      </c>
      <c r="DN1" s="6" t="s">
        <v>182</v>
      </c>
      <c r="DO1" s="6" t="s">
        <v>183</v>
      </c>
      <c r="DP1" s="6" t="s">
        <v>184</v>
      </c>
      <c r="DQ1" s="6" t="s">
        <v>186</v>
      </c>
      <c r="DR1" s="6" t="s">
        <v>187</v>
      </c>
    </row>
    <row r="2" spans="1:122" ht="22.5" customHeight="1" x14ac:dyDescent="0.2">
      <c r="A2" s="23">
        <v>45973.736441747686</v>
      </c>
      <c r="B2" s="24" t="s">
        <v>125</v>
      </c>
      <c r="C2" s="24">
        <v>0</v>
      </c>
      <c r="D2" s="24" t="s">
        <v>126</v>
      </c>
      <c r="E2" s="24" t="s">
        <v>127</v>
      </c>
      <c r="F2" s="24" t="str">
        <f t="shared" ref="F2:F7" si="0">LEFT(E2,1)</f>
        <v>E</v>
      </c>
      <c r="G2" s="24" t="s">
        <v>128</v>
      </c>
      <c r="H2" s="24">
        <v>62</v>
      </c>
      <c r="I2" s="25" t="s">
        <v>130</v>
      </c>
      <c r="J2" s="24" t="s">
        <v>132</v>
      </c>
      <c r="K2" s="24" t="s">
        <v>133</v>
      </c>
      <c r="L2" s="24" t="s">
        <v>135</v>
      </c>
      <c r="M2" s="24"/>
      <c r="N2" s="24" t="s">
        <v>136</v>
      </c>
      <c r="O2" s="24"/>
      <c r="P2" s="24" t="s">
        <v>137</v>
      </c>
      <c r="Q2" s="24" t="s">
        <v>136</v>
      </c>
      <c r="R2" s="24"/>
      <c r="S2" s="24"/>
      <c r="T2" s="24" t="s">
        <v>139</v>
      </c>
      <c r="U2" s="24" t="s">
        <v>136</v>
      </c>
      <c r="V2" s="24"/>
      <c r="W2" s="24"/>
      <c r="X2" s="24"/>
      <c r="Y2" s="24"/>
      <c r="Z2" s="24"/>
      <c r="AA2" s="24"/>
      <c r="AB2" s="24"/>
      <c r="AC2" s="24"/>
      <c r="AD2" s="24"/>
      <c r="AE2" s="24"/>
      <c r="AF2" s="24"/>
      <c r="AG2" s="24"/>
      <c r="AH2" s="24"/>
      <c r="AI2" s="24"/>
      <c r="AJ2" s="24" t="s">
        <v>144</v>
      </c>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t="s">
        <v>145</v>
      </c>
      <c r="BP2" s="24" t="s">
        <v>136</v>
      </c>
      <c r="BQ2" s="24"/>
      <c r="BR2" s="24"/>
      <c r="BS2" s="24" t="s">
        <v>146</v>
      </c>
      <c r="BT2" s="24" t="s">
        <v>147</v>
      </c>
      <c r="BU2" s="24" t="s">
        <v>148</v>
      </c>
      <c r="BV2" s="24"/>
      <c r="BW2" s="24"/>
      <c r="BX2" s="24"/>
      <c r="BY2" s="24"/>
      <c r="BZ2" s="24"/>
      <c r="CA2" s="24"/>
      <c r="CB2" s="24"/>
      <c r="CC2" s="24" t="s">
        <v>149</v>
      </c>
      <c r="CD2" s="24" t="s">
        <v>150</v>
      </c>
      <c r="CE2" s="24" t="s">
        <v>151</v>
      </c>
      <c r="CF2" s="24" t="s">
        <v>152</v>
      </c>
      <c r="CG2" s="24" t="s">
        <v>153</v>
      </c>
      <c r="CH2" s="24">
        <v>2</v>
      </c>
      <c r="CI2" s="24" t="s">
        <v>154</v>
      </c>
      <c r="CJ2" s="24" t="s">
        <v>155</v>
      </c>
      <c r="CK2" s="24" t="s">
        <v>156</v>
      </c>
      <c r="CL2" s="24"/>
      <c r="CM2" s="24"/>
      <c r="CN2" s="24"/>
      <c r="CO2" s="24"/>
      <c r="CP2" s="24"/>
      <c r="CQ2" s="24"/>
      <c r="CR2" s="24"/>
      <c r="CS2" s="24"/>
      <c r="CT2" s="24"/>
      <c r="CU2" s="24"/>
      <c r="CV2" s="24"/>
      <c r="CW2" s="24"/>
      <c r="CX2" s="24"/>
      <c r="CY2" s="24"/>
      <c r="CZ2" s="24"/>
      <c r="DA2" s="24"/>
      <c r="DB2" s="24"/>
      <c r="DC2" s="24"/>
      <c r="DD2" s="24">
        <v>3</v>
      </c>
      <c r="DE2" s="24" t="s">
        <v>157</v>
      </c>
      <c r="DF2" s="24" t="s">
        <v>136</v>
      </c>
      <c r="DG2" s="24">
        <v>4</v>
      </c>
      <c r="DH2" s="24">
        <v>2</v>
      </c>
      <c r="DI2" s="24">
        <v>4</v>
      </c>
      <c r="DJ2" s="24" t="s">
        <v>158</v>
      </c>
      <c r="DK2" s="24" t="s">
        <v>159</v>
      </c>
      <c r="DL2" s="24" t="s">
        <v>160</v>
      </c>
      <c r="DM2" s="24"/>
      <c r="DN2" s="24"/>
      <c r="DO2" s="24"/>
      <c r="DP2" s="24"/>
      <c r="DQ2" s="24"/>
      <c r="DR2" s="24"/>
    </row>
    <row r="3" spans="1:122" ht="22.5" customHeight="1" x14ac:dyDescent="0.2">
      <c r="A3" s="23">
        <v>45973.736864212959</v>
      </c>
      <c r="B3" s="24" t="s">
        <v>125</v>
      </c>
      <c r="C3" s="24">
        <v>0</v>
      </c>
      <c r="D3" s="24" t="s">
        <v>161</v>
      </c>
      <c r="E3" s="24" t="s">
        <v>162</v>
      </c>
      <c r="F3" s="24" t="str">
        <f t="shared" si="0"/>
        <v>M</v>
      </c>
      <c r="G3" s="24" t="s">
        <v>163</v>
      </c>
      <c r="H3" s="24">
        <v>62</v>
      </c>
      <c r="I3" s="25" t="s">
        <v>164</v>
      </c>
      <c r="J3" s="24" t="s">
        <v>132</v>
      </c>
      <c r="K3" s="24" t="s">
        <v>133</v>
      </c>
      <c r="L3" s="24" t="s">
        <v>135</v>
      </c>
      <c r="M3" s="24"/>
      <c r="N3" s="24" t="s">
        <v>136</v>
      </c>
      <c r="O3" s="24"/>
      <c r="P3" s="24" t="s">
        <v>166</v>
      </c>
      <c r="Q3" s="24" t="s">
        <v>156</v>
      </c>
      <c r="R3" s="24"/>
      <c r="S3" s="24"/>
      <c r="T3" s="24" t="s">
        <v>139</v>
      </c>
      <c r="U3" s="24" t="s">
        <v>136</v>
      </c>
      <c r="V3" s="24"/>
      <c r="W3" s="24"/>
      <c r="X3" s="24"/>
      <c r="Y3" s="24"/>
      <c r="Z3" s="24"/>
      <c r="AA3" s="24"/>
      <c r="AB3" s="24"/>
      <c r="AC3" s="24"/>
      <c r="AD3" s="24"/>
      <c r="AE3" s="24"/>
      <c r="AF3" s="24"/>
      <c r="AG3" s="24"/>
      <c r="AH3" s="24"/>
      <c r="AI3" s="24"/>
      <c r="AJ3" s="24" t="s">
        <v>144</v>
      </c>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t="s">
        <v>167</v>
      </c>
      <c r="BP3" s="24" t="s">
        <v>136</v>
      </c>
      <c r="BQ3" s="24"/>
      <c r="BR3" s="24"/>
      <c r="BS3" s="24" t="s">
        <v>168</v>
      </c>
      <c r="BT3" s="24" t="s">
        <v>169</v>
      </c>
      <c r="BU3" s="24" t="s">
        <v>170</v>
      </c>
      <c r="BV3" s="24"/>
      <c r="BW3" s="24"/>
      <c r="BX3" s="24"/>
      <c r="BY3" s="24"/>
      <c r="BZ3" s="24"/>
      <c r="CA3" s="24"/>
      <c r="CB3" s="24"/>
      <c r="CC3" s="24" t="s">
        <v>149</v>
      </c>
      <c r="CD3" s="24" t="s">
        <v>150</v>
      </c>
      <c r="CE3" s="24" t="s">
        <v>171</v>
      </c>
      <c r="CF3" s="24" t="s">
        <v>152</v>
      </c>
      <c r="CG3" s="24" t="s">
        <v>153</v>
      </c>
      <c r="CH3" s="24">
        <v>4</v>
      </c>
      <c r="CI3" s="24" t="s">
        <v>172</v>
      </c>
      <c r="CJ3" s="24" t="s">
        <v>173</v>
      </c>
      <c r="CK3" s="24" t="s">
        <v>156</v>
      </c>
      <c r="CL3" s="24"/>
      <c r="CM3" s="24"/>
      <c r="CN3" s="24"/>
      <c r="CO3" s="24"/>
      <c r="CP3" s="24"/>
      <c r="CQ3" s="24"/>
      <c r="CR3" s="24"/>
      <c r="CS3" s="24"/>
      <c r="CT3" s="24"/>
      <c r="CU3" s="24"/>
      <c r="CV3" s="24"/>
      <c r="CW3" s="24"/>
      <c r="CX3" s="24"/>
      <c r="CY3" s="24"/>
      <c r="CZ3" s="24"/>
      <c r="DA3" s="24"/>
      <c r="DB3" s="24"/>
      <c r="DC3" s="24"/>
      <c r="DD3" s="24">
        <v>2</v>
      </c>
      <c r="DE3" s="24" t="s">
        <v>185</v>
      </c>
      <c r="DF3" s="24" t="s">
        <v>156</v>
      </c>
      <c r="DG3" s="24"/>
      <c r="DH3" s="24"/>
      <c r="DI3" s="24"/>
      <c r="DJ3" s="24"/>
      <c r="DK3" s="24" t="s">
        <v>188</v>
      </c>
      <c r="DL3" s="24" t="s">
        <v>189</v>
      </c>
      <c r="DM3" s="24"/>
      <c r="DN3" s="24"/>
      <c r="DO3" s="24"/>
      <c r="DP3" s="24"/>
      <c r="DQ3" s="24"/>
      <c r="DR3" s="24"/>
    </row>
    <row r="4" spans="1:122" ht="22.5" customHeight="1" x14ac:dyDescent="0.2">
      <c r="A4" s="23">
        <v>45975.708788634263</v>
      </c>
      <c r="B4" s="24" t="s">
        <v>190</v>
      </c>
      <c r="C4" s="24">
        <v>0</v>
      </c>
      <c r="D4" s="24" t="s">
        <v>191</v>
      </c>
      <c r="E4" s="24" t="s">
        <v>192</v>
      </c>
      <c r="F4" s="24" t="str">
        <f t="shared" si="0"/>
        <v>F</v>
      </c>
      <c r="G4" s="24" t="s">
        <v>128</v>
      </c>
      <c r="H4" s="24">
        <v>61</v>
      </c>
      <c r="I4" s="25" t="s">
        <v>193</v>
      </c>
      <c r="J4" s="24" t="s">
        <v>194</v>
      </c>
      <c r="K4" s="24" t="s">
        <v>195</v>
      </c>
      <c r="L4" s="24" t="s">
        <v>196</v>
      </c>
      <c r="M4" s="24" t="s">
        <v>197</v>
      </c>
      <c r="N4" s="24" t="s">
        <v>136</v>
      </c>
      <c r="O4" s="24" t="s">
        <v>198</v>
      </c>
      <c r="P4" s="24" t="s">
        <v>199</v>
      </c>
      <c r="Q4" s="24" t="s">
        <v>136</v>
      </c>
      <c r="R4" s="24" t="s">
        <v>200</v>
      </c>
      <c r="S4" s="24" t="s">
        <v>199</v>
      </c>
      <c r="T4" s="24" t="s">
        <v>201</v>
      </c>
      <c r="U4" s="24" t="s">
        <v>136</v>
      </c>
      <c r="V4" s="24" t="s">
        <v>202</v>
      </c>
      <c r="W4" s="24" t="s">
        <v>199</v>
      </c>
      <c r="X4" s="24"/>
      <c r="Y4" s="24"/>
      <c r="Z4" s="24"/>
      <c r="AA4" s="24"/>
      <c r="AB4" s="24"/>
      <c r="AC4" s="24"/>
      <c r="AD4" s="24"/>
      <c r="AE4" s="24"/>
      <c r="AF4" s="24"/>
      <c r="AG4" s="24"/>
      <c r="AH4" s="24"/>
      <c r="AI4" s="24"/>
      <c r="AJ4" s="24" t="s">
        <v>203</v>
      </c>
      <c r="AK4" s="24" t="s">
        <v>136</v>
      </c>
      <c r="AL4" s="24" t="s">
        <v>136</v>
      </c>
      <c r="AM4" s="24" t="s">
        <v>156</v>
      </c>
      <c r="AN4" s="24" t="s">
        <v>156</v>
      </c>
      <c r="AO4" s="24" t="s">
        <v>136</v>
      </c>
      <c r="AP4" s="24" t="s">
        <v>156</v>
      </c>
      <c r="AQ4" s="24" t="s">
        <v>156</v>
      </c>
      <c r="AR4" s="24" t="s">
        <v>156</v>
      </c>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t="s">
        <v>149</v>
      </c>
      <c r="CD4" s="24" t="s">
        <v>150</v>
      </c>
      <c r="CE4" s="24" t="s">
        <v>151</v>
      </c>
      <c r="CF4" s="24" t="s">
        <v>204</v>
      </c>
      <c r="CG4" s="24" t="s">
        <v>153</v>
      </c>
      <c r="CH4" s="24">
        <v>4</v>
      </c>
      <c r="CI4" s="24" t="s">
        <v>205</v>
      </c>
      <c r="CJ4" s="24" t="s">
        <v>206</v>
      </c>
      <c r="CK4" s="24" t="s">
        <v>136</v>
      </c>
      <c r="CL4" s="24" t="s">
        <v>207</v>
      </c>
      <c r="CM4" s="24">
        <v>2</v>
      </c>
      <c r="CN4" s="24">
        <v>2</v>
      </c>
      <c r="CO4" s="24">
        <v>3</v>
      </c>
      <c r="CP4" s="24">
        <v>4</v>
      </c>
      <c r="CQ4" s="24">
        <v>4</v>
      </c>
      <c r="CR4" s="24">
        <v>2</v>
      </c>
      <c r="CS4" s="24">
        <v>3</v>
      </c>
      <c r="CT4" s="24">
        <v>4</v>
      </c>
      <c r="CU4" s="24">
        <v>2</v>
      </c>
      <c r="CV4" s="24">
        <v>3</v>
      </c>
      <c r="CW4" s="24">
        <v>4</v>
      </c>
      <c r="CX4" s="24">
        <v>2</v>
      </c>
      <c r="CY4" s="24">
        <v>3</v>
      </c>
      <c r="CZ4" s="24">
        <v>4</v>
      </c>
      <c r="DA4" s="24">
        <v>4</v>
      </c>
      <c r="DB4" s="24">
        <v>4</v>
      </c>
      <c r="DC4" s="24" t="s">
        <v>208</v>
      </c>
      <c r="DD4" s="24">
        <v>3</v>
      </c>
      <c r="DE4" s="24" t="s">
        <v>209</v>
      </c>
      <c r="DF4" s="24" t="s">
        <v>156</v>
      </c>
      <c r="DG4" s="24"/>
      <c r="DH4" s="24"/>
      <c r="DI4" s="24"/>
      <c r="DJ4" s="24"/>
      <c r="DK4" s="24" t="s">
        <v>210</v>
      </c>
      <c r="DL4" s="24" t="s">
        <v>137</v>
      </c>
      <c r="DM4" s="24"/>
      <c r="DN4" s="24"/>
      <c r="DO4" s="24"/>
      <c r="DP4" s="24"/>
      <c r="DQ4" s="24"/>
      <c r="DR4" s="24"/>
    </row>
    <row r="5" spans="1:122" ht="22.5" customHeight="1" x14ac:dyDescent="0.2">
      <c r="A5" s="23">
        <v>45975.748182951385</v>
      </c>
      <c r="B5" s="24" t="s">
        <v>211</v>
      </c>
      <c r="C5" s="24">
        <v>0</v>
      </c>
      <c r="D5" s="24" t="s">
        <v>212</v>
      </c>
      <c r="E5" s="24" t="s">
        <v>213</v>
      </c>
      <c r="F5" s="24" t="str">
        <f t="shared" si="0"/>
        <v>I</v>
      </c>
      <c r="G5" s="24" t="s">
        <v>128</v>
      </c>
      <c r="H5" s="24">
        <v>62</v>
      </c>
      <c r="I5" s="25" t="s">
        <v>214</v>
      </c>
      <c r="J5" s="24" t="s">
        <v>132</v>
      </c>
      <c r="K5" s="24" t="s">
        <v>195</v>
      </c>
      <c r="L5" s="24" t="s">
        <v>135</v>
      </c>
      <c r="M5" s="24" t="s">
        <v>197</v>
      </c>
      <c r="N5" s="24" t="s">
        <v>156</v>
      </c>
      <c r="O5" s="24" t="s">
        <v>215</v>
      </c>
      <c r="P5" s="24" t="s">
        <v>216</v>
      </c>
      <c r="Q5" s="24" t="s">
        <v>156</v>
      </c>
      <c r="R5" s="24" t="s">
        <v>215</v>
      </c>
      <c r="S5" s="24" t="s">
        <v>217</v>
      </c>
      <c r="T5" s="24" t="s">
        <v>218</v>
      </c>
      <c r="U5" s="24" t="s">
        <v>136</v>
      </c>
      <c r="V5" s="24" t="s">
        <v>202</v>
      </c>
      <c r="W5" s="24" t="s">
        <v>199</v>
      </c>
      <c r="X5" s="24"/>
      <c r="Y5" s="24"/>
      <c r="Z5" s="24"/>
      <c r="AA5" s="24"/>
      <c r="AB5" s="24"/>
      <c r="AC5" s="24"/>
      <c r="AD5" s="24"/>
      <c r="AE5" s="24"/>
      <c r="AF5" s="24"/>
      <c r="AG5" s="24"/>
      <c r="AH5" s="24"/>
      <c r="AI5" s="24"/>
      <c r="AJ5" s="24" t="s">
        <v>219</v>
      </c>
      <c r="AK5" s="24" t="s">
        <v>156</v>
      </c>
      <c r="AL5" s="24" t="s">
        <v>136</v>
      </c>
      <c r="AM5" s="24" t="s">
        <v>156</v>
      </c>
      <c r="AN5" s="24" t="s">
        <v>156</v>
      </c>
      <c r="AO5" s="24" t="s">
        <v>156</v>
      </c>
      <c r="AP5" s="24" t="s">
        <v>136</v>
      </c>
      <c r="AQ5" s="24" t="s">
        <v>136</v>
      </c>
      <c r="AR5" s="24" t="s">
        <v>156</v>
      </c>
      <c r="AS5" s="24"/>
      <c r="AT5" s="24"/>
      <c r="AU5" s="24"/>
      <c r="AV5" s="24"/>
      <c r="AW5" s="24"/>
      <c r="AX5" s="24"/>
      <c r="AY5" s="24"/>
      <c r="AZ5" s="24"/>
      <c r="BA5" s="24"/>
      <c r="BB5" s="24"/>
      <c r="BC5" s="24"/>
      <c r="BD5" s="24"/>
      <c r="BE5" s="24"/>
      <c r="BF5" s="24"/>
      <c r="BG5" s="24" t="s">
        <v>167</v>
      </c>
      <c r="BH5" s="24" t="s">
        <v>156</v>
      </c>
      <c r="BI5" s="24"/>
      <c r="BJ5" s="24" t="s">
        <v>220</v>
      </c>
      <c r="BK5" s="24" t="s">
        <v>156</v>
      </c>
      <c r="BL5" s="24" t="s">
        <v>221</v>
      </c>
      <c r="BM5" s="24" t="s">
        <v>222</v>
      </c>
      <c r="BN5" s="24" t="s">
        <v>223</v>
      </c>
      <c r="BO5" s="24" t="s">
        <v>224</v>
      </c>
      <c r="BP5" s="24" t="s">
        <v>156</v>
      </c>
      <c r="BQ5" s="24"/>
      <c r="BR5" s="24" t="s">
        <v>225</v>
      </c>
      <c r="BS5" s="24" t="s">
        <v>226</v>
      </c>
      <c r="BT5" s="24" t="s">
        <v>169</v>
      </c>
      <c r="BU5" s="24" t="s">
        <v>227</v>
      </c>
      <c r="BV5" s="24"/>
      <c r="BW5" s="24"/>
      <c r="BX5" s="24"/>
      <c r="BY5" s="24"/>
      <c r="BZ5" s="24"/>
      <c r="CA5" s="24"/>
      <c r="CB5" s="24"/>
      <c r="CC5" s="24" t="s">
        <v>228</v>
      </c>
      <c r="CD5" s="24" t="s">
        <v>150</v>
      </c>
      <c r="CE5" s="24" t="s">
        <v>229</v>
      </c>
      <c r="CF5" s="24" t="s">
        <v>152</v>
      </c>
      <c r="CG5" s="24" t="s">
        <v>153</v>
      </c>
      <c r="CH5" s="24">
        <v>4</v>
      </c>
      <c r="CI5" s="24" t="s">
        <v>172</v>
      </c>
      <c r="CJ5" s="24" t="s">
        <v>230</v>
      </c>
      <c r="CK5" s="24" t="s">
        <v>156</v>
      </c>
      <c r="CL5" s="24" t="s">
        <v>231</v>
      </c>
      <c r="CM5" s="24">
        <v>2</v>
      </c>
      <c r="CN5" s="24">
        <v>2</v>
      </c>
      <c r="CO5" s="24">
        <v>4</v>
      </c>
      <c r="CP5" s="24">
        <v>4</v>
      </c>
      <c r="CQ5" s="24">
        <v>3</v>
      </c>
      <c r="CR5" s="24">
        <v>2</v>
      </c>
      <c r="CS5" s="24">
        <v>4</v>
      </c>
      <c r="CT5" s="24">
        <v>4</v>
      </c>
      <c r="CU5" s="24">
        <v>3</v>
      </c>
      <c r="CV5" s="24">
        <v>4</v>
      </c>
      <c r="CW5" s="24">
        <v>4</v>
      </c>
      <c r="CX5" s="24">
        <v>4</v>
      </c>
      <c r="CY5" s="24">
        <v>4</v>
      </c>
      <c r="CZ5" s="24">
        <v>4</v>
      </c>
      <c r="DA5" s="24">
        <v>4</v>
      </c>
      <c r="DB5" s="24">
        <v>4</v>
      </c>
      <c r="DC5" s="24" t="s">
        <v>232</v>
      </c>
      <c r="DD5" s="24">
        <v>4</v>
      </c>
      <c r="DE5" s="24" t="s">
        <v>233</v>
      </c>
      <c r="DF5" s="24" t="s">
        <v>156</v>
      </c>
      <c r="DG5" s="24"/>
      <c r="DH5" s="24"/>
      <c r="DI5" s="24"/>
      <c r="DJ5" s="24"/>
      <c r="DK5" s="24" t="s">
        <v>210</v>
      </c>
      <c r="DL5" s="24" t="s">
        <v>234</v>
      </c>
      <c r="DM5" s="24"/>
      <c r="DN5" s="24"/>
      <c r="DO5" s="24"/>
      <c r="DP5" s="24"/>
      <c r="DQ5" s="24"/>
      <c r="DR5" s="24"/>
    </row>
    <row r="6" spans="1:122" ht="22.5" customHeight="1" x14ac:dyDescent="0.2">
      <c r="A6" s="23">
        <v>45977.354732905093</v>
      </c>
      <c r="B6" s="24" t="s">
        <v>235</v>
      </c>
      <c r="C6" s="24">
        <v>0</v>
      </c>
      <c r="D6" s="24" t="s">
        <v>236</v>
      </c>
      <c r="E6" s="24" t="s">
        <v>237</v>
      </c>
      <c r="F6" s="24" t="str">
        <f t="shared" si="0"/>
        <v>A</v>
      </c>
      <c r="G6" s="24" t="s">
        <v>128</v>
      </c>
      <c r="H6" s="24">
        <v>62</v>
      </c>
      <c r="I6" s="25" t="s">
        <v>238</v>
      </c>
      <c r="J6" s="24" t="s">
        <v>132</v>
      </c>
      <c r="K6" s="24" t="s">
        <v>195</v>
      </c>
      <c r="L6" s="24" t="s">
        <v>196</v>
      </c>
      <c r="M6" s="24" t="s">
        <v>239</v>
      </c>
      <c r="N6" s="24" t="s">
        <v>136</v>
      </c>
      <c r="O6" s="24" t="s">
        <v>240</v>
      </c>
      <c r="P6" s="24" t="s">
        <v>199</v>
      </c>
      <c r="Q6" s="24" t="s">
        <v>136</v>
      </c>
      <c r="R6" s="24" t="s">
        <v>200</v>
      </c>
      <c r="S6" s="24" t="s">
        <v>199</v>
      </c>
      <c r="T6" s="24" t="s">
        <v>218</v>
      </c>
      <c r="U6" s="24" t="s">
        <v>136</v>
      </c>
      <c r="V6" s="24" t="s">
        <v>241</v>
      </c>
      <c r="W6" s="24" t="s">
        <v>199</v>
      </c>
      <c r="X6" s="24"/>
      <c r="Y6" s="24"/>
      <c r="Z6" s="24"/>
      <c r="AA6" s="24"/>
      <c r="AB6" s="24"/>
      <c r="AC6" s="24"/>
      <c r="AD6" s="24"/>
      <c r="AE6" s="24"/>
      <c r="AF6" s="24"/>
      <c r="AG6" s="24"/>
      <c r="AH6" s="24"/>
      <c r="AI6" s="24"/>
      <c r="AJ6" s="24" t="s">
        <v>144</v>
      </c>
      <c r="AK6" s="24" t="s">
        <v>156</v>
      </c>
      <c r="AL6" s="24" t="s">
        <v>136</v>
      </c>
      <c r="AM6" s="24" t="s">
        <v>156</v>
      </c>
      <c r="AN6" s="24" t="s">
        <v>136</v>
      </c>
      <c r="AO6" s="24" t="s">
        <v>156</v>
      </c>
      <c r="AP6" s="24" t="s">
        <v>156</v>
      </c>
      <c r="AQ6" s="24" t="s">
        <v>156</v>
      </c>
      <c r="AR6" s="24" t="s">
        <v>156</v>
      </c>
      <c r="AS6" s="24"/>
      <c r="AT6" s="24"/>
      <c r="AU6" s="24"/>
      <c r="AV6" s="24"/>
      <c r="AW6" s="24"/>
      <c r="AX6" s="24"/>
      <c r="AY6" s="24"/>
      <c r="AZ6" s="24"/>
      <c r="BA6" s="24"/>
      <c r="BB6" s="24"/>
      <c r="BC6" s="24"/>
      <c r="BD6" s="24"/>
      <c r="BE6" s="24"/>
      <c r="BF6" s="24"/>
      <c r="BG6" s="24"/>
      <c r="BH6" s="24"/>
      <c r="BI6" s="24"/>
      <c r="BJ6" s="24"/>
      <c r="BK6" s="24"/>
      <c r="BL6" s="24"/>
      <c r="BM6" s="24"/>
      <c r="BN6" s="24"/>
      <c r="BO6" s="24" t="s">
        <v>167</v>
      </c>
      <c r="BP6" s="24" t="s">
        <v>156</v>
      </c>
      <c r="BQ6" s="24"/>
      <c r="BR6" s="24"/>
      <c r="BS6" s="24" t="s">
        <v>168</v>
      </c>
      <c r="BT6" s="24" t="s">
        <v>169</v>
      </c>
      <c r="BU6" s="24" t="s">
        <v>227</v>
      </c>
      <c r="BV6" s="24"/>
      <c r="BW6" s="24"/>
      <c r="BX6" s="24"/>
      <c r="BY6" s="24"/>
      <c r="BZ6" s="24"/>
      <c r="CA6" s="24"/>
      <c r="CB6" s="24"/>
      <c r="CC6" s="24" t="s">
        <v>149</v>
      </c>
      <c r="CD6" s="24" t="s">
        <v>242</v>
      </c>
      <c r="CE6" s="24" t="s">
        <v>229</v>
      </c>
      <c r="CF6" s="24" t="s">
        <v>152</v>
      </c>
      <c r="CG6" s="24" t="s">
        <v>243</v>
      </c>
      <c r="CH6" s="24">
        <v>4</v>
      </c>
      <c r="CI6" s="24" t="s">
        <v>244</v>
      </c>
      <c r="CJ6" s="24" t="s">
        <v>245</v>
      </c>
      <c r="CK6" s="24" t="s">
        <v>136</v>
      </c>
      <c r="CL6" s="24" t="s">
        <v>246</v>
      </c>
      <c r="CM6" s="24">
        <v>3</v>
      </c>
      <c r="CN6" s="24">
        <v>3</v>
      </c>
      <c r="CO6" s="24">
        <v>4</v>
      </c>
      <c r="CP6" s="24">
        <v>4</v>
      </c>
      <c r="CQ6" s="24">
        <v>4</v>
      </c>
      <c r="CR6" s="24">
        <v>2</v>
      </c>
      <c r="CS6" s="24">
        <v>3</v>
      </c>
      <c r="CT6" s="24">
        <v>4</v>
      </c>
      <c r="CU6" s="24">
        <v>3</v>
      </c>
      <c r="CV6" s="24">
        <v>4</v>
      </c>
      <c r="CW6" s="24">
        <v>4</v>
      </c>
      <c r="CX6" s="24">
        <v>2</v>
      </c>
      <c r="CY6" s="24">
        <v>3</v>
      </c>
      <c r="CZ6" s="24">
        <v>4</v>
      </c>
      <c r="DA6" s="24">
        <v>4</v>
      </c>
      <c r="DB6" s="24">
        <v>1</v>
      </c>
      <c r="DC6" s="24" t="s">
        <v>247</v>
      </c>
      <c r="DD6" s="24">
        <v>4</v>
      </c>
      <c r="DE6" s="24" t="s">
        <v>248</v>
      </c>
      <c r="DF6" s="24" t="s">
        <v>156</v>
      </c>
      <c r="DG6" s="24"/>
      <c r="DH6" s="24"/>
      <c r="DI6" s="24"/>
      <c r="DJ6" s="24"/>
      <c r="DK6" s="24" t="s">
        <v>210</v>
      </c>
      <c r="DL6" s="24" t="s">
        <v>249</v>
      </c>
      <c r="DM6" s="24"/>
      <c r="DN6" s="24"/>
      <c r="DO6" s="24"/>
      <c r="DP6" s="24"/>
      <c r="DQ6" s="24"/>
      <c r="DR6" s="24"/>
    </row>
    <row r="7" spans="1:122" ht="22.5" customHeight="1" x14ac:dyDescent="0.2">
      <c r="A7" s="23">
        <v>45978.446711319441</v>
      </c>
      <c r="B7" s="24" t="s">
        <v>250</v>
      </c>
      <c r="C7" s="24">
        <v>0</v>
      </c>
      <c r="D7" s="24" t="s">
        <v>251</v>
      </c>
      <c r="E7" s="24" t="s">
        <v>252</v>
      </c>
      <c r="F7" s="24" t="str">
        <f t="shared" si="0"/>
        <v>A</v>
      </c>
      <c r="G7" s="24" t="s">
        <v>128</v>
      </c>
      <c r="H7" s="24">
        <v>62</v>
      </c>
      <c r="I7" s="25" t="s">
        <v>253</v>
      </c>
      <c r="J7" s="24" t="s">
        <v>132</v>
      </c>
      <c r="K7" s="24" t="s">
        <v>195</v>
      </c>
      <c r="L7" s="24" t="s">
        <v>135</v>
      </c>
      <c r="M7" s="24" t="s">
        <v>239</v>
      </c>
      <c r="N7" s="24" t="s">
        <v>136</v>
      </c>
      <c r="O7" s="24" t="s">
        <v>240</v>
      </c>
      <c r="P7" s="24" t="s">
        <v>199</v>
      </c>
      <c r="Q7" s="24" t="s">
        <v>136</v>
      </c>
      <c r="R7" s="24" t="s">
        <v>254</v>
      </c>
      <c r="S7" s="24" t="s">
        <v>199</v>
      </c>
      <c r="T7" s="24" t="s">
        <v>255</v>
      </c>
      <c r="U7" s="24" t="s">
        <v>136</v>
      </c>
      <c r="V7" s="24" t="s">
        <v>256</v>
      </c>
      <c r="W7" s="24" t="s">
        <v>199</v>
      </c>
      <c r="X7" s="24"/>
      <c r="Y7" s="24"/>
      <c r="Z7" s="24"/>
      <c r="AA7" s="24"/>
      <c r="AB7" s="24"/>
      <c r="AC7" s="24"/>
      <c r="AD7" s="24"/>
      <c r="AE7" s="24"/>
      <c r="AF7" s="24"/>
      <c r="AG7" s="24"/>
      <c r="AH7" s="24"/>
      <c r="AI7" s="24"/>
      <c r="AJ7" s="24" t="s">
        <v>144</v>
      </c>
      <c r="AK7" s="24" t="s">
        <v>156</v>
      </c>
      <c r="AL7" s="24" t="s">
        <v>136</v>
      </c>
      <c r="AM7" s="24" t="s">
        <v>136</v>
      </c>
      <c r="AN7" s="24" t="s">
        <v>156</v>
      </c>
      <c r="AO7" s="24" t="s">
        <v>136</v>
      </c>
      <c r="AP7" s="24" t="s">
        <v>156</v>
      </c>
      <c r="AQ7" s="24" t="s">
        <v>136</v>
      </c>
      <c r="AR7" s="24" t="s">
        <v>156</v>
      </c>
      <c r="AS7" s="24"/>
      <c r="AT7" s="24"/>
      <c r="AU7" s="24"/>
      <c r="AV7" s="24"/>
      <c r="AW7" s="24"/>
      <c r="AX7" s="24"/>
      <c r="AY7" s="24"/>
      <c r="AZ7" s="24"/>
      <c r="BA7" s="24"/>
      <c r="BB7" s="24"/>
      <c r="BC7" s="24"/>
      <c r="BD7" s="24"/>
      <c r="BE7" s="24"/>
      <c r="BF7" s="24"/>
      <c r="BG7" s="24"/>
      <c r="BH7" s="24"/>
      <c r="BI7" s="24"/>
      <c r="BJ7" s="24"/>
      <c r="BK7" s="24"/>
      <c r="BL7" s="24"/>
      <c r="BM7" s="24"/>
      <c r="BN7" s="24"/>
      <c r="BO7" s="24" t="s">
        <v>167</v>
      </c>
      <c r="BP7" s="24" t="s">
        <v>136</v>
      </c>
      <c r="BQ7" s="24" t="s">
        <v>257</v>
      </c>
      <c r="BR7" s="24"/>
      <c r="BS7" s="24" t="s">
        <v>168</v>
      </c>
      <c r="BT7" s="24" t="s">
        <v>169</v>
      </c>
      <c r="BU7" s="24" t="s">
        <v>258</v>
      </c>
      <c r="BV7" s="24"/>
      <c r="BW7" s="24"/>
      <c r="BX7" s="24"/>
      <c r="BY7" s="24"/>
      <c r="BZ7" s="24"/>
      <c r="CA7" s="24"/>
      <c r="CB7" s="24"/>
      <c r="CC7" s="24" t="s">
        <v>149</v>
      </c>
      <c r="CD7" s="24" t="s">
        <v>242</v>
      </c>
      <c r="CE7" s="24" t="s">
        <v>229</v>
      </c>
      <c r="CF7" s="24" t="s">
        <v>152</v>
      </c>
      <c r="CG7" s="24" t="s">
        <v>243</v>
      </c>
      <c r="CH7" s="24">
        <v>4</v>
      </c>
      <c r="CI7" s="24" t="s">
        <v>154</v>
      </c>
      <c r="CJ7" s="24" t="s">
        <v>259</v>
      </c>
      <c r="CK7" s="24" t="s">
        <v>136</v>
      </c>
      <c r="CL7" s="24" t="s">
        <v>231</v>
      </c>
      <c r="CM7" s="24">
        <v>4</v>
      </c>
      <c r="CN7" s="24">
        <v>4</v>
      </c>
      <c r="CO7" s="24">
        <v>4</v>
      </c>
      <c r="CP7" s="24">
        <v>4</v>
      </c>
      <c r="CQ7" s="24">
        <v>4</v>
      </c>
      <c r="CR7" s="24">
        <v>4</v>
      </c>
      <c r="CS7" s="24">
        <v>4</v>
      </c>
      <c r="CT7" s="24">
        <v>4</v>
      </c>
      <c r="CU7" s="24">
        <v>4</v>
      </c>
      <c r="CV7" s="24">
        <v>4</v>
      </c>
      <c r="CW7" s="24">
        <v>4</v>
      </c>
      <c r="CX7" s="24">
        <v>4</v>
      </c>
      <c r="CY7" s="24">
        <v>4</v>
      </c>
      <c r="CZ7" s="24">
        <v>3</v>
      </c>
      <c r="DA7" s="24">
        <v>4</v>
      </c>
      <c r="DB7" s="24">
        <v>4</v>
      </c>
      <c r="DC7" s="24" t="s">
        <v>260</v>
      </c>
      <c r="DD7" s="24">
        <v>4</v>
      </c>
      <c r="DE7" s="24" t="s">
        <v>261</v>
      </c>
      <c r="DF7" s="24" t="s">
        <v>156</v>
      </c>
      <c r="DG7" s="24"/>
      <c r="DH7" s="24"/>
      <c r="DI7" s="24"/>
      <c r="DJ7" s="24"/>
      <c r="DK7" s="24" t="s">
        <v>262</v>
      </c>
      <c r="DL7" s="24" t="s">
        <v>263</v>
      </c>
      <c r="DM7" s="24"/>
      <c r="DN7" s="24"/>
      <c r="DO7" s="24"/>
      <c r="DP7" s="24"/>
      <c r="DQ7" s="24"/>
      <c r="DR7" s="24"/>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showGridLines="0" workbookViewId="0"/>
  </sheetViews>
  <sheetFormatPr defaultColWidth="12.5703125" defaultRowHeight="15.75" customHeight="1" x14ac:dyDescent="0.2"/>
  <sheetData>
    <row r="1" spans="1:26" x14ac:dyDescent="0.2">
      <c r="A1" s="30" t="s">
        <v>174</v>
      </c>
      <c r="B1" s="30" t="s">
        <v>165</v>
      </c>
      <c r="C1" s="31"/>
      <c r="D1" s="31"/>
      <c r="E1" s="31"/>
      <c r="F1" s="31"/>
      <c r="G1" s="31"/>
      <c r="H1" s="32"/>
      <c r="I1" s="22"/>
      <c r="J1" s="22"/>
      <c r="K1" s="22"/>
      <c r="L1" s="22"/>
      <c r="M1" s="22"/>
      <c r="N1" s="22"/>
      <c r="O1" s="22"/>
      <c r="P1" s="22"/>
      <c r="Q1" s="22"/>
      <c r="R1" s="22"/>
      <c r="S1" s="22"/>
      <c r="T1" s="22"/>
      <c r="U1" s="22"/>
      <c r="V1" s="22"/>
      <c r="W1" s="22"/>
      <c r="X1" s="22"/>
      <c r="Y1" s="22"/>
      <c r="Z1" s="22"/>
    </row>
    <row r="2" spans="1:26" x14ac:dyDescent="0.2">
      <c r="A2" s="30" t="s">
        <v>24</v>
      </c>
      <c r="B2" s="33" t="s">
        <v>175</v>
      </c>
      <c r="C2" s="34" t="s">
        <v>176</v>
      </c>
      <c r="D2" s="34" t="s">
        <v>177</v>
      </c>
      <c r="E2" s="34" t="s">
        <v>178</v>
      </c>
      <c r="F2" s="34" t="s">
        <v>179</v>
      </c>
      <c r="G2" s="34" t="s">
        <v>1621</v>
      </c>
      <c r="H2" s="35" t="s">
        <v>180</v>
      </c>
      <c r="I2" s="22"/>
      <c r="J2" s="22"/>
      <c r="K2" s="22"/>
      <c r="L2" s="22"/>
      <c r="M2" s="22"/>
      <c r="N2" s="22"/>
      <c r="O2" s="22"/>
      <c r="P2" s="22"/>
      <c r="Q2" s="22"/>
      <c r="R2" s="22"/>
      <c r="S2" s="22"/>
      <c r="T2" s="22"/>
      <c r="U2" s="22"/>
      <c r="V2" s="22"/>
      <c r="W2" s="22"/>
      <c r="X2" s="22"/>
      <c r="Y2" s="22"/>
      <c r="Z2" s="22"/>
    </row>
    <row r="3" spans="1:26" x14ac:dyDescent="0.2">
      <c r="A3" s="33">
        <v>61</v>
      </c>
      <c r="B3" s="36"/>
      <c r="C3" s="37"/>
      <c r="D3" s="37">
        <v>1</v>
      </c>
      <c r="E3" s="37"/>
      <c r="F3" s="37"/>
      <c r="G3" s="37"/>
      <c r="H3" s="38">
        <v>1</v>
      </c>
      <c r="I3" s="22"/>
      <c r="J3" s="22"/>
      <c r="K3" s="22"/>
      <c r="L3" s="22"/>
      <c r="M3" s="22"/>
      <c r="N3" s="22"/>
      <c r="O3" s="22"/>
      <c r="P3" s="22"/>
      <c r="Q3" s="22"/>
      <c r="R3" s="22"/>
      <c r="S3" s="22"/>
      <c r="T3" s="22"/>
      <c r="U3" s="22"/>
      <c r="V3" s="22"/>
      <c r="W3" s="22"/>
      <c r="X3" s="22"/>
      <c r="Y3" s="22"/>
      <c r="Z3" s="22"/>
    </row>
    <row r="4" spans="1:26" x14ac:dyDescent="0.2">
      <c r="A4" s="39">
        <v>62</v>
      </c>
      <c r="B4" s="40">
        <v>2</v>
      </c>
      <c r="C4" s="41">
        <v>1</v>
      </c>
      <c r="D4" s="41"/>
      <c r="E4" s="41">
        <v>1</v>
      </c>
      <c r="F4" s="41">
        <v>1</v>
      </c>
      <c r="G4" s="41"/>
      <c r="H4" s="42">
        <v>5</v>
      </c>
      <c r="I4" s="22"/>
      <c r="J4" s="22"/>
      <c r="K4" s="22"/>
      <c r="L4" s="22"/>
      <c r="M4" s="22"/>
      <c r="N4" s="22"/>
      <c r="O4" s="22"/>
      <c r="P4" s="22"/>
      <c r="Q4" s="22"/>
      <c r="R4" s="22"/>
      <c r="S4" s="22"/>
      <c r="T4" s="22"/>
      <c r="U4" s="22"/>
      <c r="V4" s="22"/>
      <c r="W4" s="22"/>
      <c r="X4" s="22"/>
      <c r="Y4" s="22"/>
      <c r="Z4" s="22"/>
    </row>
    <row r="5" spans="1:26" x14ac:dyDescent="0.2">
      <c r="A5" s="39" t="s">
        <v>1621</v>
      </c>
      <c r="B5" s="40"/>
      <c r="C5" s="41"/>
      <c r="D5" s="41"/>
      <c r="E5" s="41"/>
      <c r="F5" s="41"/>
      <c r="G5" s="41"/>
      <c r="H5" s="42"/>
      <c r="I5" s="22"/>
      <c r="J5" s="22"/>
      <c r="K5" s="22"/>
      <c r="L5" s="22"/>
      <c r="M5" s="22"/>
      <c r="N5" s="22"/>
      <c r="O5" s="22"/>
      <c r="P5" s="22"/>
      <c r="Q5" s="22"/>
      <c r="R5" s="22"/>
      <c r="S5" s="22"/>
      <c r="T5" s="22"/>
      <c r="U5" s="22"/>
      <c r="V5" s="22"/>
      <c r="W5" s="22"/>
      <c r="X5" s="22"/>
      <c r="Y5" s="22"/>
      <c r="Z5" s="22"/>
    </row>
    <row r="6" spans="1:26" x14ac:dyDescent="0.2">
      <c r="A6" s="43" t="s">
        <v>180</v>
      </c>
      <c r="B6" s="44">
        <v>2</v>
      </c>
      <c r="C6" s="45">
        <v>1</v>
      </c>
      <c r="D6" s="45">
        <v>1</v>
      </c>
      <c r="E6" s="45">
        <v>1</v>
      </c>
      <c r="F6" s="45">
        <v>1</v>
      </c>
      <c r="G6" s="45"/>
      <c r="H6" s="46">
        <v>6</v>
      </c>
      <c r="I6" s="22"/>
      <c r="J6" s="22"/>
      <c r="K6" s="22"/>
      <c r="L6" s="22"/>
      <c r="M6" s="22"/>
      <c r="N6" s="22"/>
      <c r="O6" s="22"/>
      <c r="P6" s="22"/>
      <c r="Q6" s="22"/>
      <c r="R6" s="22"/>
      <c r="S6" s="22"/>
      <c r="T6" s="22"/>
      <c r="U6" s="22"/>
      <c r="V6" s="22"/>
      <c r="W6" s="22"/>
      <c r="X6" s="22"/>
      <c r="Y6" s="22"/>
      <c r="Z6" s="22"/>
    </row>
    <row r="7" spans="1:26" x14ac:dyDescent="0.2">
      <c r="A7" s="22"/>
      <c r="B7" s="22"/>
      <c r="C7" s="22"/>
      <c r="D7" s="22"/>
      <c r="E7" s="22"/>
      <c r="F7" s="22"/>
      <c r="G7" s="22"/>
      <c r="H7" s="22"/>
      <c r="I7" s="22"/>
      <c r="J7" s="22"/>
      <c r="K7" s="22"/>
      <c r="L7" s="22"/>
      <c r="M7" s="22"/>
      <c r="N7" s="22"/>
      <c r="O7" s="22"/>
      <c r="P7" s="22"/>
      <c r="Q7" s="22"/>
      <c r="R7" s="22"/>
      <c r="S7" s="22"/>
      <c r="T7" s="22"/>
      <c r="U7" s="22"/>
      <c r="V7" s="22"/>
      <c r="W7" s="22"/>
      <c r="X7" s="22"/>
      <c r="Y7" s="22"/>
      <c r="Z7" s="22"/>
    </row>
    <row r="8" spans="1:26" x14ac:dyDescent="0.2">
      <c r="A8" s="22"/>
      <c r="B8" s="22"/>
      <c r="C8" s="22"/>
      <c r="D8" s="22"/>
      <c r="E8" s="22"/>
      <c r="F8" s="22"/>
      <c r="G8" s="22"/>
      <c r="H8" s="22"/>
      <c r="I8" s="22"/>
      <c r="J8" s="22"/>
      <c r="K8" s="22"/>
      <c r="L8" s="22"/>
      <c r="M8" s="22"/>
      <c r="N8" s="22"/>
      <c r="O8" s="22"/>
      <c r="P8" s="22"/>
      <c r="Q8" s="22"/>
      <c r="R8" s="22"/>
      <c r="S8" s="22"/>
      <c r="T8" s="22"/>
      <c r="U8" s="22"/>
      <c r="V8" s="22"/>
      <c r="W8" s="22"/>
      <c r="X8" s="22"/>
      <c r="Y8" s="22"/>
      <c r="Z8" s="22"/>
    </row>
    <row r="9" spans="1:26" x14ac:dyDescent="0.2">
      <c r="A9" s="22"/>
      <c r="B9" s="22"/>
      <c r="C9" s="22"/>
      <c r="D9" s="22"/>
      <c r="E9" s="22"/>
      <c r="F9" s="22"/>
      <c r="G9" s="22"/>
      <c r="H9" s="22"/>
      <c r="I9" s="22"/>
      <c r="J9" s="22"/>
      <c r="K9" s="22"/>
      <c r="L9" s="22"/>
      <c r="M9" s="22"/>
      <c r="N9" s="22"/>
      <c r="O9" s="22"/>
      <c r="P9" s="22"/>
      <c r="Q9" s="22"/>
      <c r="R9" s="22"/>
      <c r="S9" s="22"/>
      <c r="T9" s="22"/>
      <c r="U9" s="22"/>
      <c r="V9" s="22"/>
      <c r="W9" s="22"/>
      <c r="X9" s="22"/>
      <c r="Y9" s="22"/>
      <c r="Z9" s="22"/>
    </row>
    <row r="10" spans="1:26" x14ac:dyDescent="0.2">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spans="1:26" x14ac:dyDescent="0.2">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spans="1:26" x14ac:dyDescent="0.2">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x14ac:dyDescent="0.2">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x14ac:dyDescent="0.2">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spans="1:26" x14ac:dyDescent="0.2">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spans="1:26" x14ac:dyDescent="0.2">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spans="1:26" x14ac:dyDescent="0.2">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spans="1:26" x14ac:dyDescent="0.2">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spans="1:26" x14ac:dyDescent="0.2">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x14ac:dyDescent="0.2">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x14ac:dyDescent="0.2">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1:26" x14ac:dyDescent="0.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x14ac:dyDescent="0.2">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1:26" x14ac:dyDescent="0.2">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x14ac:dyDescent="0.2">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x14ac:dyDescent="0.2">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x14ac:dyDescent="0.2">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x14ac:dyDescent="0.2">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x14ac:dyDescent="0.2">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x14ac:dyDescent="0.2">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x14ac:dyDescent="0.2">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x14ac:dyDescent="0.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x14ac:dyDescent="0.2">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x14ac:dyDescent="0.2">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x14ac:dyDescent="0.2">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x14ac:dyDescent="0.2">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x14ac:dyDescent="0.2">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x14ac:dyDescent="0.2">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x14ac:dyDescent="0.2">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x14ac:dyDescent="0.2">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x14ac:dyDescent="0.2">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x14ac:dyDescent="0.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x14ac:dyDescent="0.2">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x14ac:dyDescent="0.2">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x14ac:dyDescent="0.2">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x14ac:dyDescent="0.2">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x14ac:dyDescent="0.2">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x14ac:dyDescent="0.2">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x14ac:dyDescent="0.2">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x14ac:dyDescent="0.2">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x14ac:dyDescent="0.2">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x14ac:dyDescent="0.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x14ac:dyDescent="0.2">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x14ac:dyDescent="0.2">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x14ac:dyDescent="0.2">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x14ac:dyDescent="0.2">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x14ac:dyDescent="0.2">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x14ac:dyDescent="0.2">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x14ac:dyDescent="0.2">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x14ac:dyDescent="0.2">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x14ac:dyDescent="0.2">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x14ac:dyDescent="0.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x14ac:dyDescent="0.2">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x14ac:dyDescent="0.2">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x14ac:dyDescent="0.2">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x14ac:dyDescent="0.2">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x14ac:dyDescent="0.2">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x14ac:dyDescent="0.2">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x14ac:dyDescent="0.2">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x14ac:dyDescent="0.2">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x14ac:dyDescent="0.2">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x14ac:dyDescent="0.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x14ac:dyDescent="0.2">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x14ac:dyDescent="0.2">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x14ac:dyDescent="0.2">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x14ac:dyDescent="0.2">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x14ac:dyDescent="0.2">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x14ac:dyDescent="0.2">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x14ac:dyDescent="0.2">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x14ac:dyDescent="0.2">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x14ac:dyDescent="0.2">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x14ac:dyDescent="0.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x14ac:dyDescent="0.2">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x14ac:dyDescent="0.2">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x14ac:dyDescent="0.2">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x14ac:dyDescent="0.2">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x14ac:dyDescent="0.2">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x14ac:dyDescent="0.2">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x14ac:dyDescent="0.2">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x14ac:dyDescent="0.2">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x14ac:dyDescent="0.2">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x14ac:dyDescent="0.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x14ac:dyDescent="0.2">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x14ac:dyDescent="0.2">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x14ac:dyDescent="0.2">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x14ac:dyDescent="0.2">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x14ac:dyDescent="0.2">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x14ac:dyDescent="0.2">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x14ac:dyDescent="0.2">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x14ac:dyDescent="0.2">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x14ac:dyDescent="0.2">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x14ac:dyDescent="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x14ac:dyDescent="0.2">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x14ac:dyDescent="0.2">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x14ac:dyDescent="0.2">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x14ac:dyDescent="0.2">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x14ac:dyDescent="0.2">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x14ac:dyDescent="0.2">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x14ac:dyDescent="0.2">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x14ac:dyDescent="0.2">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x14ac:dyDescent="0.2">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x14ac:dyDescent="0.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x14ac:dyDescent="0.2">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x14ac:dyDescent="0.2">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x14ac:dyDescent="0.2">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x14ac:dyDescent="0.2">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x14ac:dyDescent="0.2">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x14ac:dyDescent="0.2">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x14ac:dyDescent="0.2">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x14ac:dyDescent="0.2">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x14ac:dyDescent="0.2">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x14ac:dyDescent="0.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x14ac:dyDescent="0.2">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x14ac:dyDescent="0.2">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x14ac:dyDescent="0.2">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x14ac:dyDescent="0.2">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x14ac:dyDescent="0.2">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x14ac:dyDescent="0.2">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x14ac:dyDescent="0.2">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x14ac:dyDescent="0.2">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x14ac:dyDescent="0.2">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x14ac:dyDescent="0.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x14ac:dyDescent="0.2">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x14ac:dyDescent="0.2">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x14ac:dyDescent="0.2">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x14ac:dyDescent="0.2">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x14ac:dyDescent="0.2">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x14ac:dyDescent="0.2">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x14ac:dyDescent="0.2">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x14ac:dyDescent="0.2">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x14ac:dyDescent="0.2">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x14ac:dyDescent="0.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x14ac:dyDescent="0.2">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x14ac:dyDescent="0.2">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x14ac:dyDescent="0.2">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x14ac:dyDescent="0.2">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x14ac:dyDescent="0.2">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x14ac:dyDescent="0.2">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x14ac:dyDescent="0.2">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x14ac:dyDescent="0.2">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x14ac:dyDescent="0.2">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x14ac:dyDescent="0.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x14ac:dyDescent="0.2">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x14ac:dyDescent="0.2">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x14ac:dyDescent="0.2">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x14ac:dyDescent="0.2">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x14ac:dyDescent="0.2">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x14ac:dyDescent="0.2">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x14ac:dyDescent="0.2">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x14ac:dyDescent="0.2">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x14ac:dyDescent="0.2">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x14ac:dyDescent="0.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x14ac:dyDescent="0.2">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x14ac:dyDescent="0.2">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x14ac:dyDescent="0.2">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x14ac:dyDescent="0.2">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x14ac:dyDescent="0.2">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x14ac:dyDescent="0.2">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x14ac:dyDescent="0.2">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x14ac:dyDescent="0.2">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x14ac:dyDescent="0.2">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x14ac:dyDescent="0.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x14ac:dyDescent="0.2">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x14ac:dyDescent="0.2">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x14ac:dyDescent="0.2">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x14ac:dyDescent="0.2">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x14ac:dyDescent="0.2">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x14ac:dyDescent="0.2">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x14ac:dyDescent="0.2">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x14ac:dyDescent="0.2">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x14ac:dyDescent="0.2">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x14ac:dyDescent="0.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x14ac:dyDescent="0.2">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x14ac:dyDescent="0.2">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x14ac:dyDescent="0.2">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x14ac:dyDescent="0.2">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x14ac:dyDescent="0.2">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x14ac:dyDescent="0.2">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x14ac:dyDescent="0.2">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x14ac:dyDescent="0.2">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x14ac:dyDescent="0.2">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x14ac:dyDescent="0.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x14ac:dyDescent="0.2">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x14ac:dyDescent="0.2">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x14ac:dyDescent="0.2">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x14ac:dyDescent="0.2">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x14ac:dyDescent="0.2">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x14ac:dyDescent="0.2">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x14ac:dyDescent="0.2">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x14ac:dyDescent="0.2">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x14ac:dyDescent="0.2">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x14ac:dyDescent="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x14ac:dyDescent="0.2">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x14ac:dyDescent="0.2">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x14ac:dyDescent="0.2">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x14ac:dyDescent="0.2">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x14ac:dyDescent="0.2">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x14ac:dyDescent="0.2">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x14ac:dyDescent="0.2">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x14ac:dyDescent="0.2">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x14ac:dyDescent="0.2">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x14ac:dyDescent="0.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x14ac:dyDescent="0.2">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x14ac:dyDescent="0.2">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x14ac:dyDescent="0.2">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x14ac:dyDescent="0.2">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x14ac:dyDescent="0.2">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x14ac:dyDescent="0.2">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x14ac:dyDescent="0.2">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x14ac:dyDescent="0.2">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x14ac:dyDescent="0.2">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x14ac:dyDescent="0.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x14ac:dyDescent="0.2">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x14ac:dyDescent="0.2">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x14ac:dyDescent="0.2">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x14ac:dyDescent="0.2">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x14ac:dyDescent="0.2">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x14ac:dyDescent="0.2">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x14ac:dyDescent="0.2">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x14ac:dyDescent="0.2">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x14ac:dyDescent="0.2">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x14ac:dyDescent="0.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x14ac:dyDescent="0.2">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x14ac:dyDescent="0.2">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x14ac:dyDescent="0.2">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x14ac:dyDescent="0.2">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x14ac:dyDescent="0.2">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x14ac:dyDescent="0.2">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x14ac:dyDescent="0.2">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x14ac:dyDescent="0.2">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x14ac:dyDescent="0.2">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x14ac:dyDescent="0.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x14ac:dyDescent="0.2">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x14ac:dyDescent="0.2">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x14ac:dyDescent="0.2">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x14ac:dyDescent="0.2">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x14ac:dyDescent="0.2">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x14ac:dyDescent="0.2">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x14ac:dyDescent="0.2">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x14ac:dyDescent="0.2">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x14ac:dyDescent="0.2">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x14ac:dyDescent="0.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x14ac:dyDescent="0.2">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x14ac:dyDescent="0.2">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x14ac:dyDescent="0.2">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x14ac:dyDescent="0.2">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x14ac:dyDescent="0.2">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x14ac:dyDescent="0.2">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x14ac:dyDescent="0.2">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x14ac:dyDescent="0.2">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x14ac:dyDescent="0.2">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x14ac:dyDescent="0.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x14ac:dyDescent="0.2">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x14ac:dyDescent="0.2">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x14ac:dyDescent="0.2">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x14ac:dyDescent="0.2">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x14ac:dyDescent="0.2">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x14ac:dyDescent="0.2">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x14ac:dyDescent="0.2">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x14ac:dyDescent="0.2">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x14ac:dyDescent="0.2">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x14ac:dyDescent="0.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x14ac:dyDescent="0.2">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x14ac:dyDescent="0.2">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x14ac:dyDescent="0.2">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x14ac:dyDescent="0.2">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x14ac:dyDescent="0.2">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x14ac:dyDescent="0.2">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x14ac:dyDescent="0.2">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x14ac:dyDescent="0.2">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x14ac:dyDescent="0.2">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x14ac:dyDescent="0.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x14ac:dyDescent="0.2">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x14ac:dyDescent="0.2">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x14ac:dyDescent="0.2">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x14ac:dyDescent="0.2">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x14ac:dyDescent="0.2">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x14ac:dyDescent="0.2">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x14ac:dyDescent="0.2">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x14ac:dyDescent="0.2">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x14ac:dyDescent="0.2">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x14ac:dyDescent="0.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x14ac:dyDescent="0.2">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x14ac:dyDescent="0.2">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x14ac:dyDescent="0.2">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x14ac:dyDescent="0.2">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x14ac:dyDescent="0.2">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x14ac:dyDescent="0.2">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x14ac:dyDescent="0.2">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x14ac:dyDescent="0.2">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x14ac:dyDescent="0.2">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x14ac:dyDescent="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x14ac:dyDescent="0.2">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x14ac:dyDescent="0.2">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x14ac:dyDescent="0.2">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x14ac:dyDescent="0.2">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x14ac:dyDescent="0.2">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x14ac:dyDescent="0.2">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x14ac:dyDescent="0.2">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x14ac:dyDescent="0.2">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x14ac:dyDescent="0.2">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x14ac:dyDescent="0.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x14ac:dyDescent="0.2">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x14ac:dyDescent="0.2">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x14ac:dyDescent="0.2">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x14ac:dyDescent="0.2">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x14ac:dyDescent="0.2">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x14ac:dyDescent="0.2">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x14ac:dyDescent="0.2">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x14ac:dyDescent="0.2">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x14ac:dyDescent="0.2">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x14ac:dyDescent="0.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x14ac:dyDescent="0.2">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x14ac:dyDescent="0.2">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x14ac:dyDescent="0.2">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x14ac:dyDescent="0.2">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x14ac:dyDescent="0.2">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x14ac:dyDescent="0.2">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x14ac:dyDescent="0.2">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x14ac:dyDescent="0.2">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x14ac:dyDescent="0.2">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x14ac:dyDescent="0.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x14ac:dyDescent="0.2">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x14ac:dyDescent="0.2">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x14ac:dyDescent="0.2">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x14ac:dyDescent="0.2">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x14ac:dyDescent="0.2">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x14ac:dyDescent="0.2">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x14ac:dyDescent="0.2">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x14ac:dyDescent="0.2">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x14ac:dyDescent="0.2">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x14ac:dyDescent="0.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x14ac:dyDescent="0.2">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x14ac:dyDescent="0.2">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x14ac:dyDescent="0.2">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x14ac:dyDescent="0.2">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x14ac:dyDescent="0.2">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x14ac:dyDescent="0.2">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x14ac:dyDescent="0.2">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x14ac:dyDescent="0.2">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x14ac:dyDescent="0.2">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x14ac:dyDescent="0.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x14ac:dyDescent="0.2">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x14ac:dyDescent="0.2">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x14ac:dyDescent="0.2">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x14ac:dyDescent="0.2">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x14ac:dyDescent="0.2">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x14ac:dyDescent="0.2">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x14ac:dyDescent="0.2">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x14ac:dyDescent="0.2">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x14ac:dyDescent="0.2">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x14ac:dyDescent="0.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x14ac:dyDescent="0.2">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x14ac:dyDescent="0.2">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x14ac:dyDescent="0.2">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x14ac:dyDescent="0.2">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x14ac:dyDescent="0.2">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x14ac:dyDescent="0.2">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x14ac:dyDescent="0.2">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x14ac:dyDescent="0.2">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x14ac:dyDescent="0.2">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x14ac:dyDescent="0.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x14ac:dyDescent="0.2">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x14ac:dyDescent="0.2">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x14ac:dyDescent="0.2">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x14ac:dyDescent="0.2">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x14ac:dyDescent="0.2">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x14ac:dyDescent="0.2">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x14ac:dyDescent="0.2">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x14ac:dyDescent="0.2">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x14ac:dyDescent="0.2">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x14ac:dyDescent="0.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x14ac:dyDescent="0.2">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x14ac:dyDescent="0.2">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x14ac:dyDescent="0.2">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x14ac:dyDescent="0.2">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x14ac:dyDescent="0.2">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x14ac:dyDescent="0.2">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x14ac:dyDescent="0.2">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x14ac:dyDescent="0.2">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x14ac:dyDescent="0.2">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x14ac:dyDescent="0.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x14ac:dyDescent="0.2">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x14ac:dyDescent="0.2">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x14ac:dyDescent="0.2">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x14ac:dyDescent="0.2">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x14ac:dyDescent="0.2">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x14ac:dyDescent="0.2">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x14ac:dyDescent="0.2">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x14ac:dyDescent="0.2">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x14ac:dyDescent="0.2">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x14ac:dyDescent="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x14ac:dyDescent="0.2">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x14ac:dyDescent="0.2">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x14ac:dyDescent="0.2">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x14ac:dyDescent="0.2">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x14ac:dyDescent="0.2">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x14ac:dyDescent="0.2">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x14ac:dyDescent="0.2">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x14ac:dyDescent="0.2">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x14ac:dyDescent="0.2">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x14ac:dyDescent="0.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x14ac:dyDescent="0.2">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x14ac:dyDescent="0.2">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x14ac:dyDescent="0.2">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x14ac:dyDescent="0.2">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x14ac:dyDescent="0.2">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x14ac:dyDescent="0.2">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x14ac:dyDescent="0.2">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x14ac:dyDescent="0.2">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x14ac:dyDescent="0.2">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x14ac:dyDescent="0.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x14ac:dyDescent="0.2">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x14ac:dyDescent="0.2">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x14ac:dyDescent="0.2">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x14ac:dyDescent="0.2">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x14ac:dyDescent="0.2">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x14ac:dyDescent="0.2">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x14ac:dyDescent="0.2">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x14ac:dyDescent="0.2">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x14ac:dyDescent="0.2">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x14ac:dyDescent="0.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x14ac:dyDescent="0.2">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x14ac:dyDescent="0.2">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x14ac:dyDescent="0.2">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x14ac:dyDescent="0.2">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x14ac:dyDescent="0.2">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x14ac:dyDescent="0.2">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x14ac:dyDescent="0.2">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x14ac:dyDescent="0.2">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x14ac:dyDescent="0.2">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x14ac:dyDescent="0.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x14ac:dyDescent="0.2">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x14ac:dyDescent="0.2">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x14ac:dyDescent="0.2">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x14ac:dyDescent="0.2">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x14ac:dyDescent="0.2">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x14ac:dyDescent="0.2">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x14ac:dyDescent="0.2">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x14ac:dyDescent="0.2">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x14ac:dyDescent="0.2">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x14ac:dyDescent="0.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x14ac:dyDescent="0.2">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x14ac:dyDescent="0.2">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x14ac:dyDescent="0.2">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x14ac:dyDescent="0.2">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x14ac:dyDescent="0.2">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x14ac:dyDescent="0.2">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x14ac:dyDescent="0.2">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x14ac:dyDescent="0.2">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x14ac:dyDescent="0.2">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x14ac:dyDescent="0.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x14ac:dyDescent="0.2">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x14ac:dyDescent="0.2">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x14ac:dyDescent="0.2">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x14ac:dyDescent="0.2">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x14ac:dyDescent="0.2">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x14ac:dyDescent="0.2">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x14ac:dyDescent="0.2">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x14ac:dyDescent="0.2">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x14ac:dyDescent="0.2">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x14ac:dyDescent="0.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x14ac:dyDescent="0.2">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x14ac:dyDescent="0.2">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x14ac:dyDescent="0.2">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x14ac:dyDescent="0.2">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x14ac:dyDescent="0.2">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x14ac:dyDescent="0.2">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x14ac:dyDescent="0.2">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x14ac:dyDescent="0.2">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x14ac:dyDescent="0.2">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x14ac:dyDescent="0.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x14ac:dyDescent="0.2">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x14ac:dyDescent="0.2">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x14ac:dyDescent="0.2">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x14ac:dyDescent="0.2">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x14ac:dyDescent="0.2">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x14ac:dyDescent="0.2">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x14ac:dyDescent="0.2">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x14ac:dyDescent="0.2">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x14ac:dyDescent="0.2">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x14ac:dyDescent="0.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x14ac:dyDescent="0.2">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x14ac:dyDescent="0.2">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x14ac:dyDescent="0.2">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x14ac:dyDescent="0.2">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x14ac:dyDescent="0.2">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x14ac:dyDescent="0.2">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x14ac:dyDescent="0.2">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x14ac:dyDescent="0.2">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x14ac:dyDescent="0.2">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x14ac:dyDescent="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x14ac:dyDescent="0.2">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x14ac:dyDescent="0.2">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x14ac:dyDescent="0.2">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x14ac:dyDescent="0.2">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x14ac:dyDescent="0.2">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x14ac:dyDescent="0.2">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x14ac:dyDescent="0.2">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x14ac:dyDescent="0.2">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x14ac:dyDescent="0.2">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x14ac:dyDescent="0.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x14ac:dyDescent="0.2">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x14ac:dyDescent="0.2">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x14ac:dyDescent="0.2">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x14ac:dyDescent="0.2">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x14ac:dyDescent="0.2">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x14ac:dyDescent="0.2">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x14ac:dyDescent="0.2">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x14ac:dyDescent="0.2">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x14ac:dyDescent="0.2">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x14ac:dyDescent="0.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x14ac:dyDescent="0.2">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x14ac:dyDescent="0.2">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x14ac:dyDescent="0.2">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x14ac:dyDescent="0.2">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x14ac:dyDescent="0.2">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x14ac:dyDescent="0.2">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x14ac:dyDescent="0.2">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x14ac:dyDescent="0.2">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x14ac:dyDescent="0.2">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x14ac:dyDescent="0.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x14ac:dyDescent="0.2">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x14ac:dyDescent="0.2">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x14ac:dyDescent="0.2">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x14ac:dyDescent="0.2">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x14ac:dyDescent="0.2">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x14ac:dyDescent="0.2">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x14ac:dyDescent="0.2">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x14ac:dyDescent="0.2">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x14ac:dyDescent="0.2">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x14ac:dyDescent="0.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x14ac:dyDescent="0.2">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x14ac:dyDescent="0.2">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x14ac:dyDescent="0.2">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x14ac:dyDescent="0.2">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x14ac:dyDescent="0.2">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x14ac:dyDescent="0.2">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x14ac:dyDescent="0.2">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x14ac:dyDescent="0.2">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x14ac:dyDescent="0.2">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x14ac:dyDescent="0.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x14ac:dyDescent="0.2">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x14ac:dyDescent="0.2">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x14ac:dyDescent="0.2">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x14ac:dyDescent="0.2">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x14ac:dyDescent="0.2">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x14ac:dyDescent="0.2">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x14ac:dyDescent="0.2">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x14ac:dyDescent="0.2">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x14ac:dyDescent="0.2">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x14ac:dyDescent="0.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x14ac:dyDescent="0.2">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x14ac:dyDescent="0.2">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x14ac:dyDescent="0.2">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x14ac:dyDescent="0.2">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x14ac:dyDescent="0.2">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x14ac:dyDescent="0.2">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x14ac:dyDescent="0.2">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x14ac:dyDescent="0.2">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x14ac:dyDescent="0.2">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x14ac:dyDescent="0.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x14ac:dyDescent="0.2">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x14ac:dyDescent="0.2">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x14ac:dyDescent="0.2">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x14ac:dyDescent="0.2">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x14ac:dyDescent="0.2">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x14ac:dyDescent="0.2">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x14ac:dyDescent="0.2">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x14ac:dyDescent="0.2">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x14ac:dyDescent="0.2">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x14ac:dyDescent="0.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x14ac:dyDescent="0.2">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x14ac:dyDescent="0.2">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x14ac:dyDescent="0.2">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x14ac:dyDescent="0.2">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x14ac:dyDescent="0.2">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x14ac:dyDescent="0.2">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x14ac:dyDescent="0.2">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x14ac:dyDescent="0.2">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x14ac:dyDescent="0.2">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x14ac:dyDescent="0.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x14ac:dyDescent="0.2">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x14ac:dyDescent="0.2">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x14ac:dyDescent="0.2">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x14ac:dyDescent="0.2">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x14ac:dyDescent="0.2">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x14ac:dyDescent="0.2">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x14ac:dyDescent="0.2">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x14ac:dyDescent="0.2">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x14ac:dyDescent="0.2">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x14ac:dyDescent="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x14ac:dyDescent="0.2">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x14ac:dyDescent="0.2">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x14ac:dyDescent="0.2">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x14ac:dyDescent="0.2">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x14ac:dyDescent="0.2">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x14ac:dyDescent="0.2">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x14ac:dyDescent="0.2">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x14ac:dyDescent="0.2">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x14ac:dyDescent="0.2">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x14ac:dyDescent="0.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x14ac:dyDescent="0.2">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x14ac:dyDescent="0.2">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x14ac:dyDescent="0.2">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x14ac:dyDescent="0.2">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x14ac:dyDescent="0.2">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x14ac:dyDescent="0.2">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x14ac:dyDescent="0.2">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x14ac:dyDescent="0.2">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x14ac:dyDescent="0.2">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x14ac:dyDescent="0.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x14ac:dyDescent="0.2">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x14ac:dyDescent="0.2">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x14ac:dyDescent="0.2">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x14ac:dyDescent="0.2">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x14ac:dyDescent="0.2">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x14ac:dyDescent="0.2">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x14ac:dyDescent="0.2">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x14ac:dyDescent="0.2">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x14ac:dyDescent="0.2">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x14ac:dyDescent="0.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x14ac:dyDescent="0.2">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x14ac:dyDescent="0.2">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x14ac:dyDescent="0.2">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x14ac:dyDescent="0.2">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x14ac:dyDescent="0.2">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x14ac:dyDescent="0.2">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x14ac:dyDescent="0.2">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x14ac:dyDescent="0.2">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x14ac:dyDescent="0.2">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x14ac:dyDescent="0.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x14ac:dyDescent="0.2">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x14ac:dyDescent="0.2">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x14ac:dyDescent="0.2">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x14ac:dyDescent="0.2">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x14ac:dyDescent="0.2">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x14ac:dyDescent="0.2">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x14ac:dyDescent="0.2">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x14ac:dyDescent="0.2">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x14ac:dyDescent="0.2">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x14ac:dyDescent="0.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x14ac:dyDescent="0.2">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x14ac:dyDescent="0.2">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x14ac:dyDescent="0.2">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x14ac:dyDescent="0.2">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x14ac:dyDescent="0.2">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x14ac:dyDescent="0.2">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x14ac:dyDescent="0.2">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x14ac:dyDescent="0.2">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x14ac:dyDescent="0.2">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x14ac:dyDescent="0.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x14ac:dyDescent="0.2">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x14ac:dyDescent="0.2">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x14ac:dyDescent="0.2">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x14ac:dyDescent="0.2">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x14ac:dyDescent="0.2">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x14ac:dyDescent="0.2">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x14ac:dyDescent="0.2">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x14ac:dyDescent="0.2">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x14ac:dyDescent="0.2">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x14ac:dyDescent="0.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x14ac:dyDescent="0.2">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x14ac:dyDescent="0.2">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x14ac:dyDescent="0.2">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x14ac:dyDescent="0.2">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x14ac:dyDescent="0.2">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x14ac:dyDescent="0.2">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x14ac:dyDescent="0.2">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x14ac:dyDescent="0.2">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x14ac:dyDescent="0.2">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x14ac:dyDescent="0.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x14ac:dyDescent="0.2">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x14ac:dyDescent="0.2">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x14ac:dyDescent="0.2">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x14ac:dyDescent="0.2">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x14ac:dyDescent="0.2">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x14ac:dyDescent="0.2">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x14ac:dyDescent="0.2">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x14ac:dyDescent="0.2">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x14ac:dyDescent="0.2">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x14ac:dyDescent="0.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x14ac:dyDescent="0.2">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x14ac:dyDescent="0.2">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x14ac:dyDescent="0.2">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x14ac:dyDescent="0.2">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x14ac:dyDescent="0.2">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x14ac:dyDescent="0.2">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x14ac:dyDescent="0.2">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x14ac:dyDescent="0.2">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x14ac:dyDescent="0.2">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x14ac:dyDescent="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x14ac:dyDescent="0.2">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x14ac:dyDescent="0.2">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x14ac:dyDescent="0.2">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x14ac:dyDescent="0.2">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x14ac:dyDescent="0.2">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x14ac:dyDescent="0.2">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x14ac:dyDescent="0.2">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x14ac:dyDescent="0.2">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x14ac:dyDescent="0.2">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x14ac:dyDescent="0.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x14ac:dyDescent="0.2">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x14ac:dyDescent="0.2">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x14ac:dyDescent="0.2">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x14ac:dyDescent="0.2">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x14ac:dyDescent="0.2">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x14ac:dyDescent="0.2">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x14ac:dyDescent="0.2">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x14ac:dyDescent="0.2">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x14ac:dyDescent="0.2">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x14ac:dyDescent="0.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x14ac:dyDescent="0.2">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x14ac:dyDescent="0.2">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x14ac:dyDescent="0.2">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x14ac:dyDescent="0.2">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x14ac:dyDescent="0.2">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x14ac:dyDescent="0.2">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x14ac:dyDescent="0.2">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x14ac:dyDescent="0.2">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x14ac:dyDescent="0.2">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x14ac:dyDescent="0.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x14ac:dyDescent="0.2">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x14ac:dyDescent="0.2">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x14ac:dyDescent="0.2">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x14ac:dyDescent="0.2">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x14ac:dyDescent="0.2">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x14ac:dyDescent="0.2">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x14ac:dyDescent="0.2">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x14ac:dyDescent="0.2">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x14ac:dyDescent="0.2">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x14ac:dyDescent="0.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x14ac:dyDescent="0.2">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x14ac:dyDescent="0.2">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x14ac:dyDescent="0.2">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x14ac:dyDescent="0.2">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x14ac:dyDescent="0.2">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x14ac:dyDescent="0.2">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x14ac:dyDescent="0.2">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x14ac:dyDescent="0.2">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x14ac:dyDescent="0.2">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x14ac:dyDescent="0.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x14ac:dyDescent="0.2">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x14ac:dyDescent="0.2">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x14ac:dyDescent="0.2">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x14ac:dyDescent="0.2">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x14ac:dyDescent="0.2">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x14ac:dyDescent="0.2">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x14ac:dyDescent="0.2">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x14ac:dyDescent="0.2">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x14ac:dyDescent="0.2">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x14ac:dyDescent="0.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x14ac:dyDescent="0.2">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x14ac:dyDescent="0.2">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x14ac:dyDescent="0.2">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x14ac:dyDescent="0.2">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x14ac:dyDescent="0.2">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x14ac:dyDescent="0.2">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x14ac:dyDescent="0.2">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x14ac:dyDescent="0.2">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x14ac:dyDescent="0.2">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x14ac:dyDescent="0.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x14ac:dyDescent="0.2">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x14ac:dyDescent="0.2">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x14ac:dyDescent="0.2">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x14ac:dyDescent="0.2">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x14ac:dyDescent="0.2">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x14ac:dyDescent="0.2">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x14ac:dyDescent="0.2">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x14ac:dyDescent="0.2">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x14ac:dyDescent="0.2">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x14ac:dyDescent="0.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x14ac:dyDescent="0.2">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x14ac:dyDescent="0.2">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x14ac:dyDescent="0.2">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x14ac:dyDescent="0.2">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x14ac:dyDescent="0.2">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x14ac:dyDescent="0.2">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x14ac:dyDescent="0.2">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x14ac:dyDescent="0.2">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x14ac:dyDescent="0.2">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x14ac:dyDescent="0.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x14ac:dyDescent="0.2">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x14ac:dyDescent="0.2">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x14ac:dyDescent="0.2">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x14ac:dyDescent="0.2">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x14ac:dyDescent="0.2">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x14ac:dyDescent="0.2">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x14ac:dyDescent="0.2">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x14ac:dyDescent="0.2">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x14ac:dyDescent="0.2">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x14ac:dyDescent="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x14ac:dyDescent="0.2">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x14ac:dyDescent="0.2">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x14ac:dyDescent="0.2">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x14ac:dyDescent="0.2">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x14ac:dyDescent="0.2">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x14ac:dyDescent="0.2">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x14ac:dyDescent="0.2">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x14ac:dyDescent="0.2">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x14ac:dyDescent="0.2">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x14ac:dyDescent="0.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x14ac:dyDescent="0.2">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x14ac:dyDescent="0.2">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x14ac:dyDescent="0.2">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x14ac:dyDescent="0.2">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x14ac:dyDescent="0.2">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x14ac:dyDescent="0.2">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x14ac:dyDescent="0.2">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x14ac:dyDescent="0.2">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x14ac:dyDescent="0.2">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x14ac:dyDescent="0.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x14ac:dyDescent="0.2">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x14ac:dyDescent="0.2">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x14ac:dyDescent="0.2">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x14ac:dyDescent="0.2">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x14ac:dyDescent="0.2">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x14ac:dyDescent="0.2">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x14ac:dyDescent="0.2">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x14ac:dyDescent="0.2">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x14ac:dyDescent="0.2">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x14ac:dyDescent="0.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x14ac:dyDescent="0.2">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x14ac:dyDescent="0.2">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x14ac:dyDescent="0.2">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x14ac:dyDescent="0.2">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x14ac:dyDescent="0.2">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x14ac:dyDescent="0.2">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x14ac:dyDescent="0.2">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x14ac:dyDescent="0.2">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x14ac:dyDescent="0.2">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x14ac:dyDescent="0.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x14ac:dyDescent="0.2">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x14ac:dyDescent="0.2">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x14ac:dyDescent="0.2">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x14ac:dyDescent="0.2">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x14ac:dyDescent="0.2">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x14ac:dyDescent="0.2">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x14ac:dyDescent="0.2">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x14ac:dyDescent="0.2">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x14ac:dyDescent="0.2">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x14ac:dyDescent="0.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x14ac:dyDescent="0.2">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x14ac:dyDescent="0.2">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x14ac:dyDescent="0.2">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x14ac:dyDescent="0.2">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x14ac:dyDescent="0.2">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x14ac:dyDescent="0.2">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x14ac:dyDescent="0.2">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x14ac:dyDescent="0.2">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x14ac:dyDescent="0.2">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x14ac:dyDescent="0.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x14ac:dyDescent="0.2">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x14ac:dyDescent="0.2">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x14ac:dyDescent="0.2">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x14ac:dyDescent="0.2">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x14ac:dyDescent="0.2">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x14ac:dyDescent="0.2">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x14ac:dyDescent="0.2">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x14ac:dyDescent="0.2">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x14ac:dyDescent="0.2">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x14ac:dyDescent="0.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x14ac:dyDescent="0.2">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x14ac:dyDescent="0.2">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x14ac:dyDescent="0.2">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x14ac:dyDescent="0.2">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x14ac:dyDescent="0.2">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x14ac:dyDescent="0.2">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x14ac:dyDescent="0.2">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x14ac:dyDescent="0.2">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x14ac:dyDescent="0.2">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x14ac:dyDescent="0.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x14ac:dyDescent="0.2">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x14ac:dyDescent="0.2">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x14ac:dyDescent="0.2">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x14ac:dyDescent="0.2">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x14ac:dyDescent="0.2">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x14ac:dyDescent="0.2">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x14ac:dyDescent="0.2">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x14ac:dyDescent="0.2">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x14ac:dyDescent="0.2">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x14ac:dyDescent="0.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x14ac:dyDescent="0.2">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x14ac:dyDescent="0.2">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x14ac:dyDescent="0.2">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x14ac:dyDescent="0.2">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x14ac:dyDescent="0.2">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x14ac:dyDescent="0.2">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x14ac:dyDescent="0.2">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x14ac:dyDescent="0.2">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x14ac:dyDescent="0.2">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x14ac:dyDescent="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x14ac:dyDescent="0.2">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x14ac:dyDescent="0.2">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x14ac:dyDescent="0.2">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x14ac:dyDescent="0.2">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x14ac:dyDescent="0.2">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x14ac:dyDescent="0.2">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x14ac:dyDescent="0.2">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x14ac:dyDescent="0.2">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x14ac:dyDescent="0.2">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x14ac:dyDescent="0.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x14ac:dyDescent="0.2">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x14ac:dyDescent="0.2">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x14ac:dyDescent="0.2">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x14ac:dyDescent="0.2">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x14ac:dyDescent="0.2">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x14ac:dyDescent="0.2">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x14ac:dyDescent="0.2">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x14ac:dyDescent="0.2">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x14ac:dyDescent="0.2">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x14ac:dyDescent="0.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x14ac:dyDescent="0.2">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x14ac:dyDescent="0.2">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x14ac:dyDescent="0.2">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x14ac:dyDescent="0.2">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x14ac:dyDescent="0.2">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x14ac:dyDescent="0.2">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x14ac:dyDescent="0.2">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x14ac:dyDescent="0.2">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x14ac:dyDescent="0.2">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x14ac:dyDescent="0.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x14ac:dyDescent="0.2">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x14ac:dyDescent="0.2">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x14ac:dyDescent="0.2">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x14ac:dyDescent="0.2">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x14ac:dyDescent="0.2">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x14ac:dyDescent="0.2">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x14ac:dyDescent="0.2">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x14ac:dyDescent="0.2">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x14ac:dyDescent="0.2">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x14ac:dyDescent="0.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x14ac:dyDescent="0.2">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x14ac:dyDescent="0.2">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x14ac:dyDescent="0.2">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x14ac:dyDescent="0.2">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x14ac:dyDescent="0.2">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x14ac:dyDescent="0.2">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x14ac:dyDescent="0.2">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x14ac:dyDescent="0.2">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x14ac:dyDescent="0.2">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x14ac:dyDescent="0.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x14ac:dyDescent="0.2">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x14ac:dyDescent="0.2">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x14ac:dyDescent="0.2">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x14ac:dyDescent="0.2">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x14ac:dyDescent="0.2">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x14ac:dyDescent="0.2">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x14ac:dyDescent="0.2">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x14ac:dyDescent="0.2">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x14ac:dyDescent="0.2">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x14ac:dyDescent="0.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x14ac:dyDescent="0.2">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x14ac:dyDescent="0.2">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x14ac:dyDescent="0.2">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x14ac:dyDescent="0.2">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x14ac:dyDescent="0.2">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x14ac:dyDescent="0.2">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x14ac:dyDescent="0.2">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x14ac:dyDescent="0.2">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x14ac:dyDescent="0.2">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x14ac:dyDescent="0.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x14ac:dyDescent="0.2">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x14ac:dyDescent="0.2">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x14ac:dyDescent="0.2">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x14ac:dyDescent="0.2">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x14ac:dyDescent="0.2">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x14ac:dyDescent="0.2">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x14ac:dyDescent="0.2">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x14ac:dyDescent="0.2">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x14ac:dyDescent="0.2">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x14ac:dyDescent="0.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x14ac:dyDescent="0.2">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x14ac:dyDescent="0.2">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x14ac:dyDescent="0.2">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x14ac:dyDescent="0.2">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x14ac:dyDescent="0.2">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x14ac:dyDescent="0.2">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x14ac:dyDescent="0.2">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x14ac:dyDescent="0.2">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x14ac:dyDescent="0.2">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x14ac:dyDescent="0.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x14ac:dyDescent="0.2">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x14ac:dyDescent="0.2">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x14ac:dyDescent="0.2">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x14ac:dyDescent="0.2">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x14ac:dyDescent="0.2">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x14ac:dyDescent="0.2">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x14ac:dyDescent="0.2">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x14ac:dyDescent="0.2">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Form Responses 1</vt:lpstr>
      <vt:lpstr>KEPUASAN</vt:lpstr>
      <vt:lpstr>PENGETAHUAN</vt:lpstr>
      <vt:lpstr>PERSEPSI</vt:lpstr>
      <vt:lpstr>KUALITAS LAYANAN</vt:lpstr>
      <vt:lpstr>Copy of Form Responses 1</vt:lpstr>
      <vt:lpstr>Pivot 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DAFFA KYANFAIZA HIDAYATULLAH</cp:lastModifiedBy>
  <dcterms:modified xsi:type="dcterms:W3CDTF">2026-07-30T10:11:38Z</dcterms:modified>
</cp:coreProperties>
</file>